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OIPO NE\Downloads\Excel Projects\"/>
    </mc:Choice>
  </mc:AlternateContent>
  <xr:revisionPtr revIDLastSave="0" documentId="8_{62C059C0-95A8-45E5-BF60-4009939E8D30}" xr6:coauthVersionLast="47" xr6:coauthVersionMax="47" xr10:uidLastSave="{00000000-0000-0000-0000-000000000000}"/>
  <bookViews>
    <workbookView xWindow="-108" yWindow="-108" windowWidth="23256" windowHeight="12456" firstSheet="1" activeTab="4" xr2:uid="{00000000-000D-0000-FFFF-FFFF00000000}"/>
  </bookViews>
  <sheets>
    <sheet name="Customer Data" sheetId="1" r:id="rId1"/>
    <sheet name="Data Collection Methods" sheetId="2" r:id="rId2"/>
    <sheet name="PivotTables" sheetId="4" r:id="rId3"/>
    <sheet name="Calculations" sheetId="3" r:id="rId4"/>
    <sheet name="Dashboard" sheetId="5" r:id="rId5"/>
  </sheets>
  <definedNames>
    <definedName name="Slicer_Product">#N/A</definedName>
    <definedName name="Slicer_Province">#N/A</definedName>
    <definedName name="Slicer_Purchase">#N/A</definedName>
    <definedName name="Slicer_Sourc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3" l="1"/>
  <c r="B6" i="3"/>
  <c r="B5" i="3"/>
  <c r="B4" i="3"/>
  <c r="B3" i="3"/>
  <c r="B2" i="3"/>
</calcChain>
</file>

<file path=xl/sharedStrings.xml><?xml version="1.0" encoding="utf-8"?>
<sst xmlns="http://schemas.openxmlformats.org/spreadsheetml/2006/main" count="542" uniqueCount="221">
  <si>
    <t>Customer ID</t>
  </si>
  <si>
    <t>Date</t>
  </si>
  <si>
    <t>Source</t>
  </si>
  <si>
    <t>Customer Name</t>
  </si>
  <si>
    <t>Gender</t>
  </si>
  <si>
    <t>Age Group</t>
  </si>
  <si>
    <t>Province</t>
  </si>
  <si>
    <t>Product</t>
  </si>
  <si>
    <t>Enquiry Type</t>
  </si>
  <si>
    <t>Purchase</t>
  </si>
  <si>
    <t>Amount Spent (R)</t>
  </si>
  <si>
    <t>Satisfaction (1-5)</t>
  </si>
  <si>
    <t>Comments</t>
  </si>
  <si>
    <t>C001</t>
  </si>
  <si>
    <t>01/07/2026</t>
  </si>
  <si>
    <t>Website</t>
  </si>
  <si>
    <t>John Smith</t>
  </si>
  <si>
    <t>Male</t>
  </si>
  <si>
    <t>25-34</t>
  </si>
  <si>
    <t>Gauteng</t>
  </si>
  <si>
    <t>Premium Plan</t>
  </si>
  <si>
    <t>Pricing</t>
  </si>
  <si>
    <t>Yes</t>
  </si>
  <si>
    <t>Easy signup</t>
  </si>
  <si>
    <t>C002</t>
  </si>
  <si>
    <t>Facebook</t>
  </si>
  <si>
    <t>Sarah Mokoena</t>
  </si>
  <si>
    <t>Female</t>
  </si>
  <si>
    <t>18-24</t>
  </si>
  <si>
    <t>Limpopo</t>
  </si>
  <si>
    <t>Basic Plan</t>
  </si>
  <si>
    <t>Information</t>
  </si>
  <si>
    <t>No</t>
  </si>
  <si>
    <t>Still deciding</t>
  </si>
  <si>
    <t>C003</t>
  </si>
  <si>
    <t>02/07/2026</t>
  </si>
  <si>
    <t>Online Form</t>
  </si>
  <si>
    <t>Peter Dube</t>
  </si>
  <si>
    <t>35-44</t>
  </si>
  <si>
    <t>Mpumalanga</t>
  </si>
  <si>
    <t>Registration</t>
  </si>
  <si>
    <t>Excellent service</t>
  </si>
  <si>
    <t>C004</t>
  </si>
  <si>
    <t>Customer Support</t>
  </si>
  <si>
    <t>Mary Nkosi</t>
  </si>
  <si>
    <t>Standard Plan</t>
  </si>
  <si>
    <t>Complaint</t>
  </si>
  <si>
    <t>Delivery delayed</t>
  </si>
  <si>
    <t>C005</t>
  </si>
  <si>
    <t>03/07/2026</t>
  </si>
  <si>
    <t>Interview</t>
  </si>
  <si>
    <t>David Moyo</t>
  </si>
  <si>
    <t>45-54</t>
  </si>
  <si>
    <t>North West</t>
  </si>
  <si>
    <t>Feedback</t>
  </si>
  <si>
    <t>Wants more features</t>
  </si>
  <si>
    <t>C006</t>
  </si>
  <si>
    <t>Paper Form</t>
  </si>
  <si>
    <t>Lerato Khumalo</t>
  </si>
  <si>
    <t>Free State</t>
  </si>
  <si>
    <t>Good value</t>
  </si>
  <si>
    <t>C007</t>
  </si>
  <si>
    <t>04/07/2026</t>
  </si>
  <si>
    <t>Sipho Ndlovu</t>
  </si>
  <si>
    <t>KwaZulu-Natal</t>
  </si>
  <si>
    <t>Very satisfied</t>
  </si>
  <si>
    <t>C008</t>
  </si>
  <si>
    <t>Instagram</t>
  </si>
  <si>
    <t>Zanele Maseko</t>
  </si>
  <si>
    <t>Comparing options</t>
  </si>
  <si>
    <t>C009</t>
  </si>
  <si>
    <t>05/07/2026</t>
  </si>
  <si>
    <t>Email</t>
  </si>
  <si>
    <t>Brian Tshabalala</t>
  </si>
  <si>
    <t>Support</t>
  </si>
  <si>
    <t>Resolved quickly</t>
  </si>
  <si>
    <t>C010</t>
  </si>
  <si>
    <t>Telephone</t>
  </si>
  <si>
    <t>Nomsa Mthembu</t>
  </si>
  <si>
    <t>Friendly staff</t>
  </si>
  <si>
    <t>C011</t>
  </si>
  <si>
    <t>06/07/2026</t>
  </si>
  <si>
    <t>Kabelo Molefe</t>
  </si>
  <si>
    <t>Requested brochure</t>
  </si>
  <si>
    <t>C012</t>
  </si>
  <si>
    <t>Thandi Dlamini</t>
  </si>
  <si>
    <t>Eastern Cape</t>
  </si>
  <si>
    <t>Happy customer</t>
  </si>
  <si>
    <t>C013</t>
  </si>
  <si>
    <t>07/07/2026</t>
  </si>
  <si>
    <t>Jacob Sithole</t>
  </si>
  <si>
    <t>Fast response</t>
  </si>
  <si>
    <t>C014</t>
  </si>
  <si>
    <t>Grace Mokoena</t>
  </si>
  <si>
    <t>55+</t>
  </si>
  <si>
    <t>Billing issue</t>
  </si>
  <si>
    <t>C015</t>
  </si>
  <si>
    <t>08/07/2026</t>
  </si>
  <si>
    <t>Samuel Radebe</t>
  </si>
  <si>
    <t>Smooth experience</t>
  </si>
  <si>
    <t>C016</t>
  </si>
  <si>
    <t>Walk-in</t>
  </si>
  <si>
    <t>Alice Phiri</t>
  </si>
  <si>
    <t>Helpful consultant</t>
  </si>
  <si>
    <t>C017</t>
  </si>
  <si>
    <t>09/07/2026</t>
  </si>
  <si>
    <t>Musa Zulu</t>
  </si>
  <si>
    <t>Likes the product</t>
  </si>
  <si>
    <t>C018</t>
  </si>
  <si>
    <t>Patricia Ncube</t>
  </si>
  <si>
    <t>Excellent</t>
  </si>
  <si>
    <t>C019</t>
  </si>
  <si>
    <t>10/07/2026</t>
  </si>
  <si>
    <t>Michael Mulaudzi</t>
  </si>
  <si>
    <t>Good support</t>
  </si>
  <si>
    <t>C020</t>
  </si>
  <si>
    <t>Agnes Baloyi</t>
  </si>
  <si>
    <t>Interested later</t>
  </si>
  <si>
    <t>C021</t>
  </si>
  <si>
    <t>11/07/2026</t>
  </si>
  <si>
    <t>Tshepo Mahlangu</t>
  </si>
  <si>
    <t>Very happy</t>
  </si>
  <si>
    <t>C022</t>
  </si>
  <si>
    <t>Bonolo Seema</t>
  </si>
  <si>
    <t>Affordable</t>
  </si>
  <si>
    <t>C023</t>
  </si>
  <si>
    <t>12/07/2026</t>
  </si>
  <si>
    <t>Patrick Mabena</t>
  </si>
  <si>
    <t>Waiting replacement</t>
  </si>
  <si>
    <t>C024</t>
  </si>
  <si>
    <t>Queen Mhlongo</t>
  </si>
  <si>
    <t>Suggested package</t>
  </si>
  <si>
    <t>C025</t>
  </si>
  <si>
    <t>13/07/2026</t>
  </si>
  <si>
    <t>Isaac Chirwa</t>
  </si>
  <si>
    <t>Good experience</t>
  </si>
  <si>
    <t>C026</t>
  </si>
  <si>
    <t>Faith Ncube</t>
  </si>
  <si>
    <t>Easy application</t>
  </si>
  <si>
    <t>C027</t>
  </si>
  <si>
    <t>14/07/2026</t>
  </si>
  <si>
    <t>Richard Hlongwane</t>
  </si>
  <si>
    <t>Quick process</t>
  </si>
  <si>
    <t>C028</t>
  </si>
  <si>
    <t>Naomi Sibanda</t>
  </si>
  <si>
    <t>Requested callback</t>
  </si>
  <si>
    <t>C029</t>
  </si>
  <si>
    <t>15/07/2026</t>
  </si>
  <si>
    <t>Joseph Marumo</t>
  </si>
  <si>
    <t>Highly satisfied</t>
  </si>
  <si>
    <t>C030</t>
  </si>
  <si>
    <t>Linda Mofokeng</t>
  </si>
  <si>
    <t>Issue resolved</t>
  </si>
  <si>
    <t>C031</t>
  </si>
  <si>
    <t>16/07/2026</t>
  </si>
  <si>
    <t>Vusi Nxumalo</t>
  </si>
  <si>
    <t>Friendly service</t>
  </si>
  <si>
    <t>C032</t>
  </si>
  <si>
    <t>Caroline Ramabulana</t>
  </si>
  <si>
    <t>Excellent support</t>
  </si>
  <si>
    <t>C033</t>
  </si>
  <si>
    <t>17/07/2026</t>
  </si>
  <si>
    <t>Daniel Motsepe</t>
  </si>
  <si>
    <t>Quick response</t>
  </si>
  <si>
    <t>C034</t>
  </si>
  <si>
    <t>Precious Maseko</t>
  </si>
  <si>
    <t>Great experience</t>
  </si>
  <si>
    <t>C035</t>
  </si>
  <si>
    <t>18/07/2026</t>
  </si>
  <si>
    <t>Elias Netshitenzhe</t>
  </si>
  <si>
    <t>Wants discounts</t>
  </si>
  <si>
    <t>C036</t>
  </si>
  <si>
    <t>Rosina Mokoena</t>
  </si>
  <si>
    <t>Satisfied</t>
  </si>
  <si>
    <t>C037</t>
  </si>
  <si>
    <t>19/07/2026</t>
  </si>
  <si>
    <t>Themba Zungu</t>
  </si>
  <si>
    <t>Saving money</t>
  </si>
  <si>
    <t>C038</t>
  </si>
  <si>
    <t>Evelyn Khosa</t>
  </si>
  <si>
    <t>Excellent onboarding</t>
  </si>
  <si>
    <t>C039</t>
  </si>
  <si>
    <t>20/07/2026</t>
  </si>
  <si>
    <t>Collins Mulaudzi</t>
  </si>
  <si>
    <t>Follow-up required</t>
  </si>
  <si>
    <t>C040</t>
  </si>
  <si>
    <t>Ruth Mahlangu</t>
  </si>
  <si>
    <t>Very impressed</t>
  </si>
  <si>
    <t>Description</t>
  </si>
  <si>
    <t>Advantages</t>
  </si>
  <si>
    <t>Online Forms</t>
  </si>
  <si>
    <t>Forms</t>
  </si>
  <si>
    <t>Fast</t>
  </si>
  <si>
    <t>Contact form</t>
  </si>
  <si>
    <t>Captures leads</t>
  </si>
  <si>
    <t>Social Media</t>
  </si>
  <si>
    <t>Messages</t>
  </si>
  <si>
    <t>Engagement</t>
  </si>
  <si>
    <t>Calls/emails</t>
  </si>
  <si>
    <t>Issues</t>
  </si>
  <si>
    <t>Paper Forms</t>
  </si>
  <si>
    <t>Physical</t>
  </si>
  <si>
    <t>Offline</t>
  </si>
  <si>
    <t>Interviews</t>
  </si>
  <si>
    <t>Face-to-face</t>
  </si>
  <si>
    <t>Detailed</t>
  </si>
  <si>
    <t>Metric</t>
  </si>
  <si>
    <t>Value</t>
  </si>
  <si>
    <t>Total Customers</t>
  </si>
  <si>
    <t>Average Satisfaction</t>
  </si>
  <si>
    <t>Row Labels</t>
  </si>
  <si>
    <t>Grand Total</t>
  </si>
  <si>
    <t>Count of Customer ID</t>
  </si>
  <si>
    <t>Sum of Amount Spent (R)</t>
  </si>
  <si>
    <t>Column Labels</t>
  </si>
  <si>
    <t>Total Purchases</t>
  </si>
  <si>
    <t>Total Revenue</t>
  </si>
  <si>
    <t>Conversion Rate (%)</t>
  </si>
  <si>
    <t>Average Spend Per Customer</t>
  </si>
  <si>
    <t>CUSTOMER DATA COLLECTION &amp; ANALYSIS DASHBOARD</t>
  </si>
  <si>
    <t>Average of Satisfaction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</si>
</sst>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2" x14ac:knownFonts="1">
    <font>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0" borderId="0" xfId="0" applyFont="1"/>
    <xf numFmtId="164" fontId="1" fillId="0" borderId="0" xfId="0" applyNumberFormat="1" applyFont="1"/>
    <xf numFmtId="9" fontId="1" fillId="0" borderId="0" xfId="0" applyNumberFormat="1" applyFont="1"/>
    <xf numFmtId="0" fontId="0" fillId="0" borderId="0" xfId="0" applyNumberFormat="1"/>
    <xf numFmtId="0" fontId="0" fillId="0" borderId="0" xfId="0"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[Customer_Data_Collection_Analysis_Template.xlsx]PivotTables!PivotTable1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Customers</a:t>
            </a:r>
            <a:r>
              <a:rPr lang="en-ZA" baseline="0"/>
              <a:t> by Source</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PivotTables!$B$2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2B-457C-848D-8FC266706B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2B-457C-848D-8FC266706B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82B-457C-848D-8FC266706B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82B-457C-848D-8FC266706B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82B-457C-848D-8FC266706B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82B-457C-848D-8FC266706B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82B-457C-848D-8FC266706B6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82B-457C-848D-8FC266706B6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82B-457C-848D-8FC266706B6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82B-457C-848D-8FC266706B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PivotTables!$A$3:$A$13</c:f>
              <c:strCache>
                <c:ptCount val="10"/>
                <c:pt idx="0">
                  <c:v>Customer Support</c:v>
                </c:pt>
                <c:pt idx="1">
                  <c:v>Email</c:v>
                </c:pt>
                <c:pt idx="2">
                  <c:v>Facebook</c:v>
                </c:pt>
                <c:pt idx="3">
                  <c:v>Instagram</c:v>
                </c:pt>
                <c:pt idx="4">
                  <c:v>Interview</c:v>
                </c:pt>
                <c:pt idx="5">
                  <c:v>Online Form</c:v>
                </c:pt>
                <c:pt idx="6">
                  <c:v>Paper Form</c:v>
                </c:pt>
                <c:pt idx="7">
                  <c:v>Telephone</c:v>
                </c:pt>
                <c:pt idx="8">
                  <c:v>Walk-in</c:v>
                </c:pt>
                <c:pt idx="9">
                  <c:v>Website</c:v>
                </c:pt>
              </c:strCache>
            </c:strRef>
          </c:cat>
          <c:val>
            <c:numRef>
              <c:f>PivotTables!$B$3:$B$13</c:f>
              <c:numCache>
                <c:formatCode>General</c:formatCode>
                <c:ptCount val="10"/>
                <c:pt idx="0">
                  <c:v>5</c:v>
                </c:pt>
                <c:pt idx="1">
                  <c:v>3</c:v>
                </c:pt>
                <c:pt idx="2">
                  <c:v>5</c:v>
                </c:pt>
                <c:pt idx="3">
                  <c:v>4</c:v>
                </c:pt>
                <c:pt idx="4">
                  <c:v>2</c:v>
                </c:pt>
                <c:pt idx="5">
                  <c:v>4</c:v>
                </c:pt>
                <c:pt idx="6">
                  <c:v>3</c:v>
                </c:pt>
                <c:pt idx="7">
                  <c:v>2</c:v>
                </c:pt>
                <c:pt idx="8">
                  <c:v>2</c:v>
                </c:pt>
                <c:pt idx="9">
                  <c:v>10</c:v>
                </c:pt>
              </c:numCache>
            </c:numRef>
          </c:val>
          <c:extLst>
            <c:ext xmlns:c16="http://schemas.microsoft.com/office/drawing/2014/chart" uri="{C3380CC4-5D6E-409C-BE32-E72D297353CC}">
              <c16:uniqueId val="{00000014-282B-457C-848D-8FC266706B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[Customer_Data_Collection_Analysis_Template.xlsx]PivotTables!PivotTable3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Customers</a:t>
            </a:r>
            <a:r>
              <a:rPr lang="en-ZA" baseline="0"/>
              <a:t> by Province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PivotTables!$E$8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PivotTables!$D$9:$D$16</c:f>
              <c:strCache>
                <c:ptCount val="7"/>
                <c:pt idx="0">
                  <c:v>Eastern Cape</c:v>
                </c:pt>
                <c:pt idx="1">
                  <c:v>Free State</c:v>
                </c:pt>
                <c:pt idx="2">
                  <c:v>Gauteng</c:v>
                </c:pt>
                <c:pt idx="3">
                  <c:v>KwaZulu-Natal</c:v>
                </c:pt>
                <c:pt idx="4">
                  <c:v>Limpopo</c:v>
                </c:pt>
                <c:pt idx="5">
                  <c:v>Mpumalanga</c:v>
                </c:pt>
                <c:pt idx="6">
                  <c:v>North West</c:v>
                </c:pt>
              </c:strCache>
            </c:strRef>
          </c:cat>
          <c:val>
            <c:numRef>
              <c:f>PivotTables!$E$9:$E$16</c:f>
              <c:numCache>
                <c:formatCode>General</c:formatCode>
                <c:ptCount val="7"/>
                <c:pt idx="0">
                  <c:v>1</c:v>
                </c:pt>
                <c:pt idx="1">
                  <c:v>2</c:v>
                </c:pt>
                <c:pt idx="2">
                  <c:v>16</c:v>
                </c:pt>
                <c:pt idx="3">
                  <c:v>4</c:v>
                </c:pt>
                <c:pt idx="4">
                  <c:v>9</c:v>
                </c:pt>
                <c:pt idx="5">
                  <c:v>5</c:v>
                </c:pt>
                <c:pt idx="6">
                  <c:v>3</c:v>
                </c:pt>
              </c:numCache>
            </c:numRef>
          </c:val>
          <c:extLst>
            <c:ext xmlns:c16="http://schemas.microsoft.com/office/drawing/2014/chart" uri="{C3380CC4-5D6E-409C-BE32-E72D297353CC}">
              <c16:uniqueId val="{00000000-3BCA-4A39-A41A-7AA1CCB3365B}"/>
            </c:ext>
          </c:extLst>
        </c:ser>
        <c:dLbls>
          <c:dLblPos val="outEnd"/>
          <c:showLegendKey val="0"/>
          <c:showVal val="1"/>
          <c:showCatName val="0"/>
          <c:showSerName val="0"/>
          <c:showPercent val="0"/>
          <c:showBubbleSize val="0"/>
        </c:dLbls>
        <c:gapWidth val="182"/>
        <c:axId val="1079206687"/>
        <c:axId val="1113858223"/>
      </c:barChart>
      <c:catAx>
        <c:axId val="107920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858223"/>
        <c:crosses val="autoZero"/>
        <c:auto val="1"/>
        <c:lblAlgn val="ctr"/>
        <c:lblOffset val="100"/>
        <c:noMultiLvlLbl val="0"/>
      </c:catAx>
      <c:valAx>
        <c:axId val="11138582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206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[Customer_Data_Collection_Analysis_Template.xlsx]PivotTables!PivotTable4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Satisfaction by Source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PivotTables!$A$16:$A$26</c:f>
              <c:strCache>
                <c:ptCount val="10"/>
                <c:pt idx="0">
                  <c:v>Customer Support</c:v>
                </c:pt>
                <c:pt idx="1">
                  <c:v>Email</c:v>
                </c:pt>
                <c:pt idx="2">
                  <c:v>Facebook</c:v>
                </c:pt>
                <c:pt idx="3">
                  <c:v>Instagram</c:v>
                </c:pt>
                <c:pt idx="4">
                  <c:v>Interview</c:v>
                </c:pt>
                <c:pt idx="5">
                  <c:v>Online Form</c:v>
                </c:pt>
                <c:pt idx="6">
                  <c:v>Paper Form</c:v>
                </c:pt>
                <c:pt idx="7">
                  <c:v>Telephone</c:v>
                </c:pt>
                <c:pt idx="8">
                  <c:v>Walk-in</c:v>
                </c:pt>
                <c:pt idx="9">
                  <c:v>Website</c:v>
                </c:pt>
              </c:strCache>
            </c:strRef>
          </c:cat>
          <c:val>
            <c:numRef>
              <c:f>PivotTables!$B$16:$B$26</c:f>
              <c:numCache>
                <c:formatCode>General</c:formatCode>
                <c:ptCount val="10"/>
                <c:pt idx="0">
                  <c:v>2.2000000000000002</c:v>
                </c:pt>
                <c:pt idx="1">
                  <c:v>4</c:v>
                </c:pt>
                <c:pt idx="2">
                  <c:v>4.4000000000000004</c:v>
                </c:pt>
                <c:pt idx="3">
                  <c:v>3</c:v>
                </c:pt>
                <c:pt idx="4">
                  <c:v>4.5</c:v>
                </c:pt>
                <c:pt idx="5">
                  <c:v>4.75</c:v>
                </c:pt>
                <c:pt idx="6">
                  <c:v>4</c:v>
                </c:pt>
                <c:pt idx="7">
                  <c:v>4.5</c:v>
                </c:pt>
                <c:pt idx="8">
                  <c:v>4</c:v>
                </c:pt>
                <c:pt idx="9">
                  <c:v>4.8</c:v>
                </c:pt>
              </c:numCache>
            </c:numRef>
          </c:val>
          <c:extLst>
            <c:ext xmlns:c16="http://schemas.microsoft.com/office/drawing/2014/chart" uri="{C3380CC4-5D6E-409C-BE32-E72D297353CC}">
              <c16:uniqueId val="{00000000-6C5D-4CC2-B261-130800F264EC}"/>
            </c:ext>
          </c:extLst>
        </c:ser>
        <c:dLbls>
          <c:dLblPos val="outEnd"/>
          <c:showLegendKey val="0"/>
          <c:showVal val="1"/>
          <c:showCatName val="0"/>
          <c:showSerName val="0"/>
          <c:showPercent val="0"/>
          <c:showBubbleSize val="0"/>
        </c:dLbls>
        <c:gapWidth val="219"/>
        <c:overlap val="-27"/>
        <c:axId val="1114626031"/>
        <c:axId val="1113857743"/>
      </c:barChart>
      <c:catAx>
        <c:axId val="111462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857743"/>
        <c:crosses val="autoZero"/>
        <c:auto val="1"/>
        <c:lblAlgn val="ctr"/>
        <c:lblOffset val="100"/>
        <c:noMultiLvlLbl val="0"/>
      </c:catAx>
      <c:valAx>
        <c:axId val="1113857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62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[Customer_Data_Collection_Analysis_Template.xlsx]PivotTables!PivotTable2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Revenue</a:t>
            </a:r>
            <a:r>
              <a:rPr lang="en-ZA" baseline="0"/>
              <a:t> by Product</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PivotTables!$D$2:$D$5</c:f>
              <c:strCache>
                <c:ptCount val="3"/>
                <c:pt idx="0">
                  <c:v>Basic Plan</c:v>
                </c:pt>
                <c:pt idx="1">
                  <c:v>Premium Plan</c:v>
                </c:pt>
                <c:pt idx="2">
                  <c:v>Standard Plan</c:v>
                </c:pt>
              </c:strCache>
            </c:strRef>
          </c:cat>
          <c:val>
            <c:numRef>
              <c:f>PivotTables!$E$2:$E$5</c:f>
              <c:numCache>
                <c:formatCode>General</c:formatCode>
                <c:ptCount val="3"/>
                <c:pt idx="0">
                  <c:v>2580</c:v>
                </c:pt>
                <c:pt idx="1">
                  <c:v>26950</c:v>
                </c:pt>
                <c:pt idx="2">
                  <c:v>10470</c:v>
                </c:pt>
              </c:numCache>
            </c:numRef>
          </c:val>
          <c:extLst>
            <c:ext xmlns:c16="http://schemas.microsoft.com/office/drawing/2014/chart" uri="{C3380CC4-5D6E-409C-BE32-E72D297353CC}">
              <c16:uniqueId val="{00000000-ABEF-4A79-ABD2-E235FEC9617D}"/>
            </c:ext>
          </c:extLst>
        </c:ser>
        <c:dLbls>
          <c:dLblPos val="outEnd"/>
          <c:showLegendKey val="0"/>
          <c:showVal val="1"/>
          <c:showCatName val="0"/>
          <c:showSerName val="0"/>
          <c:showPercent val="0"/>
          <c:showBubbleSize val="0"/>
        </c:dLbls>
        <c:gapWidth val="219"/>
        <c:overlap val="-27"/>
        <c:axId val="1115858959"/>
        <c:axId val="1113860623"/>
      </c:barChart>
      <c:catAx>
        <c:axId val="111585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860623"/>
        <c:crosses val="autoZero"/>
        <c:auto val="1"/>
        <c:lblAlgn val="ctr"/>
        <c:lblOffset val="100"/>
        <c:noMultiLvlLbl val="0"/>
      </c:catAx>
      <c:valAx>
        <c:axId val="111386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58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297180</xdr:colOff>
      <xdr:row>50</xdr:row>
      <xdr:rowOff>106680</xdr:rowOff>
    </xdr:to>
    <xdr:sp macro="" textlink="">
      <xdr:nvSpPr>
        <xdr:cNvPr id="41" name="Rectangle: Rounded Corners 40">
          <a:extLst>
            <a:ext uri="{FF2B5EF4-FFF2-40B4-BE49-F238E27FC236}">
              <a16:creationId xmlns:a16="http://schemas.microsoft.com/office/drawing/2014/main" id="{41A6D78C-EDA8-B51F-2E64-EBC490E09C19}"/>
            </a:ext>
          </a:extLst>
        </xdr:cNvPr>
        <xdr:cNvSpPr/>
      </xdr:nvSpPr>
      <xdr:spPr>
        <a:xfrm>
          <a:off x="0" y="0"/>
          <a:ext cx="12489180" cy="9250680"/>
        </a:xfrm>
        <a:prstGeom prst="roundRect">
          <a:avLst>
            <a:gd name="adj" fmla="val 0"/>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800" b="1">
              <a:solidFill>
                <a:schemeClr val="tx1"/>
              </a:solidFill>
            </a:rPr>
            <a:t>CUSTOMER DATA COLLECTION &amp;  ANALYSIS DASHBOARD</a:t>
          </a:r>
        </a:p>
      </xdr:txBody>
    </xdr:sp>
    <xdr:clientData/>
  </xdr:twoCellAnchor>
  <xdr:twoCellAnchor>
    <xdr:from>
      <xdr:col>0</xdr:col>
      <xdr:colOff>0</xdr:colOff>
      <xdr:row>6</xdr:row>
      <xdr:rowOff>91440</xdr:rowOff>
    </xdr:from>
    <xdr:to>
      <xdr:col>6</xdr:col>
      <xdr:colOff>510540</xdr:colOff>
      <xdr:row>18</xdr:row>
      <xdr:rowOff>30480</xdr:rowOff>
    </xdr:to>
    <xdr:graphicFrame macro="">
      <xdr:nvGraphicFramePr>
        <xdr:cNvPr id="2" name="Chart 1">
          <a:extLst>
            <a:ext uri="{FF2B5EF4-FFF2-40B4-BE49-F238E27FC236}">
              <a16:creationId xmlns:a16="http://schemas.microsoft.com/office/drawing/2014/main" id="{037811FB-8FDA-4AA1-A25E-5C2687914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22860</xdr:colOff>
      <xdr:row>18</xdr:row>
      <xdr:rowOff>114300</xdr:rowOff>
    </xdr:from>
    <xdr:to>
      <xdr:col>6</xdr:col>
      <xdr:colOff>510540</xdr:colOff>
      <xdr:row>32</xdr:row>
      <xdr:rowOff>15240</xdr:rowOff>
    </xdr:to>
    <xdr:graphicFrame macro="">
      <xdr:nvGraphicFramePr>
        <xdr:cNvPr id="3" name="Chart 2">
          <a:extLst>
            <a:ext uri="{FF2B5EF4-FFF2-40B4-BE49-F238E27FC236}">
              <a16:creationId xmlns:a16="http://schemas.microsoft.com/office/drawing/2014/main" id="{2E568AD1-5D2B-4EA2-A1C9-F06F3C7FB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182880</xdr:colOff>
      <xdr:row>18</xdr:row>
      <xdr:rowOff>83820</xdr:rowOff>
    </xdr:from>
    <xdr:to>
      <xdr:col>14</xdr:col>
      <xdr:colOff>320040</xdr:colOff>
      <xdr:row>31</xdr:row>
      <xdr:rowOff>167640</xdr:rowOff>
    </xdr:to>
    <xdr:graphicFrame macro="">
      <xdr:nvGraphicFramePr>
        <xdr:cNvPr id="4" name="Chart 3">
          <a:extLst>
            <a:ext uri="{FF2B5EF4-FFF2-40B4-BE49-F238E27FC236}">
              <a16:creationId xmlns:a16="http://schemas.microsoft.com/office/drawing/2014/main" id="{9A8C8E23-DCD9-40A5-BFCB-2598A31E7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220980</xdr:colOff>
      <xdr:row>6</xdr:row>
      <xdr:rowOff>76200</xdr:rowOff>
    </xdr:from>
    <xdr:to>
      <xdr:col>14</xdr:col>
      <xdr:colOff>289560</xdr:colOff>
      <xdr:row>18</xdr:row>
      <xdr:rowOff>7620</xdr:rowOff>
    </xdr:to>
    <xdr:graphicFrame macro="">
      <xdr:nvGraphicFramePr>
        <xdr:cNvPr id="5" name="Chart 4">
          <a:extLst>
            <a:ext uri="{FF2B5EF4-FFF2-40B4-BE49-F238E27FC236}">
              <a16:creationId xmlns:a16="http://schemas.microsoft.com/office/drawing/2014/main" id="{052D756A-2444-4BD8-ABC5-A1CEE7593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2</xdr:row>
      <xdr:rowOff>22860</xdr:rowOff>
    </xdr:from>
    <xdr:to>
      <xdr:col>3</xdr:col>
      <xdr:colOff>0</xdr:colOff>
      <xdr:row>6</xdr:row>
      <xdr:rowOff>38100</xdr:rowOff>
    </xdr:to>
    <xdr:grpSp>
      <xdr:nvGrpSpPr>
        <xdr:cNvPr id="8" name="Group 7">
          <a:extLst>
            <a:ext uri="{FF2B5EF4-FFF2-40B4-BE49-F238E27FC236}">
              <a16:creationId xmlns:a16="http://schemas.microsoft.com/office/drawing/2014/main" id="{97CA192A-C0B5-5E90-2018-EA57B3CE8539}"/>
            </a:ext>
          </a:extLst>
        </xdr:cNvPr>
        <xdr:cNvGrpSpPr/>
      </xdr:nvGrpSpPr>
      <xdr:grpSpPr>
        <a:xfrm>
          <a:off x="15240" y="388620"/>
          <a:ext cx="1813560" cy="746760"/>
          <a:chOff x="22860" y="449580"/>
          <a:chExt cx="1813560" cy="746760"/>
        </a:xfrm>
      </xdr:grpSpPr>
      <xdr:sp macro="" textlink="Calculations!B2">
        <xdr:nvSpPr>
          <xdr:cNvPr id="6" name="Rectangle: Rounded Corners 5">
            <a:extLst>
              <a:ext uri="{FF2B5EF4-FFF2-40B4-BE49-F238E27FC236}">
                <a16:creationId xmlns:a16="http://schemas.microsoft.com/office/drawing/2014/main" id="{20586F6D-C0AD-507D-4DFC-D17EABC1F5C2}"/>
              </a:ext>
            </a:extLst>
          </xdr:cNvPr>
          <xdr:cNvSpPr/>
        </xdr:nvSpPr>
        <xdr:spPr>
          <a:xfrm>
            <a:off x="22860" y="449580"/>
            <a:ext cx="1813560" cy="7467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i="0" u="none" strike="noStrike">
              <a:solidFill>
                <a:srgbClr val="000000"/>
              </a:solidFill>
              <a:latin typeface="Calibri"/>
              <a:ea typeface="Calibri"/>
              <a:cs typeface="Calibri"/>
            </a:endParaRPr>
          </a:p>
          <a:p>
            <a:pPr algn="ctr"/>
            <a:fld id="{D70763F2-5D45-4CA4-BA15-8043C4DEB727}" type="TxLink">
              <a:rPr lang="en-US" sz="1800" b="1" i="0" u="none" strike="noStrike">
                <a:solidFill>
                  <a:srgbClr val="000000"/>
                </a:solidFill>
                <a:latin typeface="Calibri"/>
                <a:ea typeface="Calibri"/>
                <a:cs typeface="Calibri"/>
              </a:rPr>
              <a:pPr algn="ctr"/>
              <a:t>40</a:t>
            </a:fld>
            <a:endParaRPr lang="en-ZA" sz="1100"/>
          </a:p>
        </xdr:txBody>
      </xdr:sp>
      <xdr:sp macro="" textlink="">
        <xdr:nvSpPr>
          <xdr:cNvPr id="7" name="TextBox 6">
            <a:extLst>
              <a:ext uri="{FF2B5EF4-FFF2-40B4-BE49-F238E27FC236}">
                <a16:creationId xmlns:a16="http://schemas.microsoft.com/office/drawing/2014/main" id="{1735DD8D-FDDC-80C9-C308-58DB2D0024A9}"/>
              </a:ext>
            </a:extLst>
          </xdr:cNvPr>
          <xdr:cNvSpPr txBox="1"/>
        </xdr:nvSpPr>
        <xdr:spPr>
          <a:xfrm>
            <a:off x="38100" y="548640"/>
            <a:ext cx="177546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ZA" sz="1600"/>
              <a:t>Total Customers</a:t>
            </a:r>
          </a:p>
        </xdr:txBody>
      </xdr:sp>
    </xdr:grpSp>
    <xdr:clientData/>
  </xdr:twoCellAnchor>
  <xdr:twoCellAnchor>
    <xdr:from>
      <xdr:col>3</xdr:col>
      <xdr:colOff>129540</xdr:colOff>
      <xdr:row>2</xdr:row>
      <xdr:rowOff>7620</xdr:rowOff>
    </xdr:from>
    <xdr:to>
      <xdr:col>6</xdr:col>
      <xdr:colOff>281940</xdr:colOff>
      <xdr:row>6</xdr:row>
      <xdr:rowOff>38100</xdr:rowOff>
    </xdr:to>
    <xdr:grpSp>
      <xdr:nvGrpSpPr>
        <xdr:cNvPr id="11" name="Group 10">
          <a:extLst>
            <a:ext uri="{FF2B5EF4-FFF2-40B4-BE49-F238E27FC236}">
              <a16:creationId xmlns:a16="http://schemas.microsoft.com/office/drawing/2014/main" id="{3B6B193B-6801-4986-6437-83B19F0C07E6}"/>
            </a:ext>
          </a:extLst>
        </xdr:cNvPr>
        <xdr:cNvGrpSpPr/>
      </xdr:nvGrpSpPr>
      <xdr:grpSpPr>
        <a:xfrm>
          <a:off x="1958340" y="373380"/>
          <a:ext cx="1981200" cy="762000"/>
          <a:chOff x="2369820" y="541020"/>
          <a:chExt cx="1866900" cy="678180"/>
        </a:xfrm>
      </xdr:grpSpPr>
      <xdr:sp macro="" textlink="Calculations!B4">
        <xdr:nvSpPr>
          <xdr:cNvPr id="9" name="Rectangle: Rounded Corners 8">
            <a:extLst>
              <a:ext uri="{FF2B5EF4-FFF2-40B4-BE49-F238E27FC236}">
                <a16:creationId xmlns:a16="http://schemas.microsoft.com/office/drawing/2014/main" id="{DD97C1CB-7E6B-FA1D-4768-23697E559BA6}"/>
              </a:ext>
            </a:extLst>
          </xdr:cNvPr>
          <xdr:cNvSpPr/>
        </xdr:nvSpPr>
        <xdr:spPr>
          <a:xfrm>
            <a:off x="2369820" y="541020"/>
            <a:ext cx="1828800" cy="678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i="0" u="none" strike="noStrike">
              <a:solidFill>
                <a:srgbClr val="000000"/>
              </a:solidFill>
              <a:latin typeface="Calibri"/>
              <a:ea typeface="Calibri"/>
              <a:cs typeface="Calibri"/>
            </a:endParaRPr>
          </a:p>
          <a:p>
            <a:pPr algn="ctr"/>
            <a:fld id="{BEA39169-26B4-4CC0-AAC9-40B6E4C4F2A6}" type="TxLink">
              <a:rPr lang="en-US" sz="1800" b="1" i="0" u="none" strike="noStrike">
                <a:solidFill>
                  <a:srgbClr val="000000"/>
                </a:solidFill>
                <a:latin typeface="Calibri"/>
                <a:ea typeface="Calibri"/>
                <a:cs typeface="Calibri"/>
              </a:rPr>
              <a:pPr algn="ctr"/>
              <a:t>R40 000,00</a:t>
            </a:fld>
            <a:endParaRPr lang="en-ZA" sz="1100"/>
          </a:p>
        </xdr:txBody>
      </xdr:sp>
      <xdr:sp macro="" textlink="">
        <xdr:nvSpPr>
          <xdr:cNvPr id="10" name="TextBox 9">
            <a:extLst>
              <a:ext uri="{FF2B5EF4-FFF2-40B4-BE49-F238E27FC236}">
                <a16:creationId xmlns:a16="http://schemas.microsoft.com/office/drawing/2014/main" id="{AB261F00-BFD8-73CE-8FB7-BE75EB439FA0}"/>
              </a:ext>
            </a:extLst>
          </xdr:cNvPr>
          <xdr:cNvSpPr txBox="1"/>
        </xdr:nvSpPr>
        <xdr:spPr>
          <a:xfrm>
            <a:off x="2453640" y="571500"/>
            <a:ext cx="17830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ZA" sz="1600"/>
              <a:t>Total Revenue</a:t>
            </a:r>
          </a:p>
        </xdr:txBody>
      </xdr:sp>
    </xdr:grpSp>
    <xdr:clientData/>
  </xdr:twoCellAnchor>
  <xdr:twoCellAnchor>
    <xdr:from>
      <xdr:col>6</xdr:col>
      <xdr:colOff>312420</xdr:colOff>
      <xdr:row>2</xdr:row>
      <xdr:rowOff>22860</xdr:rowOff>
    </xdr:from>
    <xdr:to>
      <xdr:col>9</xdr:col>
      <xdr:colOff>411480</xdr:colOff>
      <xdr:row>6</xdr:row>
      <xdr:rowOff>22860</xdr:rowOff>
    </xdr:to>
    <xdr:grpSp>
      <xdr:nvGrpSpPr>
        <xdr:cNvPr id="14" name="Group 13">
          <a:extLst>
            <a:ext uri="{FF2B5EF4-FFF2-40B4-BE49-F238E27FC236}">
              <a16:creationId xmlns:a16="http://schemas.microsoft.com/office/drawing/2014/main" id="{83FED3B9-154B-A8A4-F932-84E5BBCBEB7E}"/>
            </a:ext>
          </a:extLst>
        </xdr:cNvPr>
        <xdr:cNvGrpSpPr/>
      </xdr:nvGrpSpPr>
      <xdr:grpSpPr>
        <a:xfrm>
          <a:off x="3970020" y="388620"/>
          <a:ext cx="1927860" cy="731520"/>
          <a:chOff x="4297680" y="541020"/>
          <a:chExt cx="1828800" cy="701040"/>
        </a:xfrm>
      </xdr:grpSpPr>
      <xdr:sp macro="" textlink="Calculations!B3">
        <xdr:nvSpPr>
          <xdr:cNvPr id="12" name="Rectangle: Rounded Corners 11">
            <a:extLst>
              <a:ext uri="{FF2B5EF4-FFF2-40B4-BE49-F238E27FC236}">
                <a16:creationId xmlns:a16="http://schemas.microsoft.com/office/drawing/2014/main" id="{D5A6E8EE-5716-21F9-967A-6D3A29A1054C}"/>
              </a:ext>
            </a:extLst>
          </xdr:cNvPr>
          <xdr:cNvSpPr/>
        </xdr:nvSpPr>
        <xdr:spPr>
          <a:xfrm>
            <a:off x="4320540" y="541020"/>
            <a:ext cx="1805940" cy="7010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i="0" u="none" strike="noStrike">
              <a:solidFill>
                <a:srgbClr val="000000"/>
              </a:solidFill>
              <a:latin typeface="Calibri"/>
              <a:ea typeface="Calibri"/>
              <a:cs typeface="Calibri"/>
            </a:endParaRPr>
          </a:p>
          <a:p>
            <a:pPr algn="ctr"/>
            <a:fld id="{6EC6DE31-1382-4B7C-8C27-121C28DA0EFC}" type="TxLink">
              <a:rPr lang="en-US" sz="1800" b="1" i="0" u="none" strike="noStrike">
                <a:solidFill>
                  <a:srgbClr val="000000"/>
                </a:solidFill>
                <a:latin typeface="Calibri"/>
                <a:ea typeface="Calibri"/>
                <a:cs typeface="Calibri"/>
              </a:rPr>
              <a:t>30</a:t>
            </a:fld>
            <a:endParaRPr lang="en-ZA" sz="1100"/>
          </a:p>
        </xdr:txBody>
      </xdr:sp>
      <xdr:sp macro="" textlink="">
        <xdr:nvSpPr>
          <xdr:cNvPr id="13" name="TextBox 12">
            <a:extLst>
              <a:ext uri="{FF2B5EF4-FFF2-40B4-BE49-F238E27FC236}">
                <a16:creationId xmlns:a16="http://schemas.microsoft.com/office/drawing/2014/main" id="{78A6DE74-39B9-0892-6CBB-CBAD63E21388}"/>
              </a:ext>
            </a:extLst>
          </xdr:cNvPr>
          <xdr:cNvSpPr txBox="1"/>
        </xdr:nvSpPr>
        <xdr:spPr>
          <a:xfrm>
            <a:off x="4297680" y="563880"/>
            <a:ext cx="17830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ZA" sz="1600"/>
              <a:t>Total Purchases</a:t>
            </a:r>
          </a:p>
        </xdr:txBody>
      </xdr:sp>
    </xdr:grpSp>
    <xdr:clientData/>
  </xdr:twoCellAnchor>
  <xdr:twoCellAnchor>
    <xdr:from>
      <xdr:col>9</xdr:col>
      <xdr:colOff>556260</xdr:colOff>
      <xdr:row>2</xdr:row>
      <xdr:rowOff>15240</xdr:rowOff>
    </xdr:from>
    <xdr:to>
      <xdr:col>12</xdr:col>
      <xdr:colOff>495300</xdr:colOff>
      <xdr:row>6</xdr:row>
      <xdr:rowOff>7620</xdr:rowOff>
    </xdr:to>
    <xdr:grpSp>
      <xdr:nvGrpSpPr>
        <xdr:cNvPr id="17" name="Group 16">
          <a:extLst>
            <a:ext uri="{FF2B5EF4-FFF2-40B4-BE49-F238E27FC236}">
              <a16:creationId xmlns:a16="http://schemas.microsoft.com/office/drawing/2014/main" id="{494B80AE-80DB-B208-BA4C-9790A1EF679D}"/>
            </a:ext>
          </a:extLst>
        </xdr:cNvPr>
        <xdr:cNvGrpSpPr/>
      </xdr:nvGrpSpPr>
      <xdr:grpSpPr>
        <a:xfrm>
          <a:off x="6042660" y="381000"/>
          <a:ext cx="1767840" cy="723900"/>
          <a:chOff x="6118860" y="358140"/>
          <a:chExt cx="1767840" cy="723900"/>
        </a:xfrm>
      </xdr:grpSpPr>
      <xdr:sp macro="" textlink="Calculations!B5">
        <xdr:nvSpPr>
          <xdr:cNvPr id="15" name="Rectangle: Rounded Corners 14">
            <a:extLst>
              <a:ext uri="{FF2B5EF4-FFF2-40B4-BE49-F238E27FC236}">
                <a16:creationId xmlns:a16="http://schemas.microsoft.com/office/drawing/2014/main" id="{FFA66218-9E16-4DC3-3101-4FFC0C874AEC}"/>
              </a:ext>
            </a:extLst>
          </xdr:cNvPr>
          <xdr:cNvSpPr/>
        </xdr:nvSpPr>
        <xdr:spPr>
          <a:xfrm>
            <a:off x="6118860" y="358140"/>
            <a:ext cx="1767840" cy="72390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i="0" u="none" strike="noStrike">
              <a:solidFill>
                <a:srgbClr val="000000"/>
              </a:solidFill>
              <a:latin typeface="Calibri"/>
              <a:ea typeface="Calibri"/>
              <a:cs typeface="Calibri"/>
            </a:endParaRPr>
          </a:p>
          <a:p>
            <a:pPr algn="ctr"/>
            <a:fld id="{55992837-AACB-4EA5-8320-C34655166135}" type="TxLink">
              <a:rPr lang="en-US" sz="1800" b="1" i="0" u="none" strike="noStrike">
                <a:solidFill>
                  <a:srgbClr val="000000"/>
                </a:solidFill>
                <a:latin typeface="Calibri"/>
                <a:ea typeface="Calibri"/>
                <a:cs typeface="Calibri"/>
              </a:rPr>
              <a:t>4,05</a:t>
            </a:fld>
            <a:endParaRPr lang="en-ZA" sz="1100"/>
          </a:p>
        </xdr:txBody>
      </xdr:sp>
      <xdr:sp macro="" textlink="">
        <xdr:nvSpPr>
          <xdr:cNvPr id="16" name="TextBox 15">
            <a:extLst>
              <a:ext uri="{FF2B5EF4-FFF2-40B4-BE49-F238E27FC236}">
                <a16:creationId xmlns:a16="http://schemas.microsoft.com/office/drawing/2014/main" id="{9D9C16BF-8FBA-5728-DE52-F7667D27178C}"/>
              </a:ext>
            </a:extLst>
          </xdr:cNvPr>
          <xdr:cNvSpPr txBox="1"/>
        </xdr:nvSpPr>
        <xdr:spPr>
          <a:xfrm>
            <a:off x="6149340" y="464820"/>
            <a:ext cx="17145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ZA" sz="1600"/>
              <a:t>Avg Satisfaction</a:t>
            </a:r>
          </a:p>
        </xdr:txBody>
      </xdr:sp>
    </xdr:grpSp>
    <xdr:clientData/>
  </xdr:twoCellAnchor>
  <xdr:twoCellAnchor>
    <xdr:from>
      <xdr:col>12</xdr:col>
      <xdr:colOff>594360</xdr:colOff>
      <xdr:row>2</xdr:row>
      <xdr:rowOff>15240</xdr:rowOff>
    </xdr:from>
    <xdr:to>
      <xdr:col>16</xdr:col>
      <xdr:colOff>30480</xdr:colOff>
      <xdr:row>6</xdr:row>
      <xdr:rowOff>15240</xdr:rowOff>
    </xdr:to>
    <xdr:grpSp>
      <xdr:nvGrpSpPr>
        <xdr:cNvPr id="20" name="Group 19">
          <a:extLst>
            <a:ext uri="{FF2B5EF4-FFF2-40B4-BE49-F238E27FC236}">
              <a16:creationId xmlns:a16="http://schemas.microsoft.com/office/drawing/2014/main" id="{126B5E24-F52E-6F51-83D9-17AA1CD8F7BA}"/>
            </a:ext>
          </a:extLst>
        </xdr:cNvPr>
        <xdr:cNvGrpSpPr/>
      </xdr:nvGrpSpPr>
      <xdr:grpSpPr>
        <a:xfrm>
          <a:off x="7909560" y="381000"/>
          <a:ext cx="1874520" cy="731520"/>
          <a:chOff x="7940040" y="457200"/>
          <a:chExt cx="1874520" cy="731520"/>
        </a:xfrm>
      </xdr:grpSpPr>
      <xdr:sp macro="" textlink="Calculations!B6">
        <xdr:nvSpPr>
          <xdr:cNvPr id="18" name="Rectangle: Rounded Corners 17">
            <a:extLst>
              <a:ext uri="{FF2B5EF4-FFF2-40B4-BE49-F238E27FC236}">
                <a16:creationId xmlns:a16="http://schemas.microsoft.com/office/drawing/2014/main" id="{105FC278-3AEA-F106-CDF6-6005F4FF845B}"/>
              </a:ext>
            </a:extLst>
          </xdr:cNvPr>
          <xdr:cNvSpPr/>
        </xdr:nvSpPr>
        <xdr:spPr>
          <a:xfrm>
            <a:off x="7947660" y="457200"/>
            <a:ext cx="1866900" cy="7315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i="0" u="none" strike="noStrike">
              <a:solidFill>
                <a:srgbClr val="000000"/>
              </a:solidFill>
              <a:latin typeface="Calibri"/>
              <a:ea typeface="Calibri"/>
              <a:cs typeface="Calibri"/>
            </a:endParaRPr>
          </a:p>
          <a:p>
            <a:pPr algn="ctr"/>
            <a:fld id="{CBB982FB-893B-4811-BF55-AE6D7EA89377}" type="TxLink">
              <a:rPr lang="en-US" sz="1800" b="1" i="0" u="none" strike="noStrike">
                <a:solidFill>
                  <a:srgbClr val="000000"/>
                </a:solidFill>
                <a:latin typeface="Calibri"/>
                <a:ea typeface="Calibri"/>
                <a:cs typeface="Calibri"/>
              </a:rPr>
              <a:t>75%</a:t>
            </a:fld>
            <a:endParaRPr lang="en-ZA" sz="1100"/>
          </a:p>
        </xdr:txBody>
      </xdr:sp>
      <xdr:sp macro="" textlink="">
        <xdr:nvSpPr>
          <xdr:cNvPr id="19" name="TextBox 18">
            <a:extLst>
              <a:ext uri="{FF2B5EF4-FFF2-40B4-BE49-F238E27FC236}">
                <a16:creationId xmlns:a16="http://schemas.microsoft.com/office/drawing/2014/main" id="{F9AB5D73-CD8B-0D83-405A-A295951906F5}"/>
              </a:ext>
            </a:extLst>
          </xdr:cNvPr>
          <xdr:cNvSpPr txBox="1"/>
        </xdr:nvSpPr>
        <xdr:spPr>
          <a:xfrm>
            <a:off x="7940040" y="510540"/>
            <a:ext cx="181356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ZA" sz="1600"/>
              <a:t>Conversion Rate</a:t>
            </a:r>
          </a:p>
        </xdr:txBody>
      </xdr:sp>
    </xdr:grpSp>
    <xdr:clientData/>
  </xdr:twoCellAnchor>
  <xdr:twoCellAnchor>
    <xdr:from>
      <xdr:col>16</xdr:col>
      <xdr:colOff>182880</xdr:colOff>
      <xdr:row>2</xdr:row>
      <xdr:rowOff>83820</xdr:rowOff>
    </xdr:from>
    <xdr:to>
      <xdr:col>19</xdr:col>
      <xdr:colOff>129540</xdr:colOff>
      <xdr:row>4</xdr:row>
      <xdr:rowOff>60846</xdr:rowOff>
    </xdr:to>
    <xdr:sp macro="" textlink="">
      <xdr:nvSpPr>
        <xdr:cNvPr id="22" name="TextBox 21">
          <a:extLst>
            <a:ext uri="{FF2B5EF4-FFF2-40B4-BE49-F238E27FC236}">
              <a16:creationId xmlns:a16="http://schemas.microsoft.com/office/drawing/2014/main" id="{E94A7626-5E0E-04AE-1D94-3E2F81F7DA4E}"/>
            </a:ext>
          </a:extLst>
        </xdr:cNvPr>
        <xdr:cNvSpPr txBox="1"/>
      </xdr:nvSpPr>
      <xdr:spPr>
        <a:xfrm>
          <a:off x="9936480" y="449580"/>
          <a:ext cx="177546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ZA" sz="1600"/>
        </a:p>
      </xdr:txBody>
    </xdr:sp>
    <xdr:clientData/>
  </xdr:twoCellAnchor>
  <xdr:twoCellAnchor editAs="oneCell">
    <xdr:from>
      <xdr:col>15</xdr:col>
      <xdr:colOff>0</xdr:colOff>
      <xdr:row>7</xdr:row>
      <xdr:rowOff>1</xdr:rowOff>
    </xdr:from>
    <xdr:to>
      <xdr:col>17</xdr:col>
      <xdr:colOff>571500</xdr:colOff>
      <xdr:row>11</xdr:row>
      <xdr:rowOff>114301</xdr:rowOff>
    </xdr:to>
    <mc:AlternateContent xmlns:mc="http://schemas.openxmlformats.org/markup-compatibility/2006">
      <mc:Choice xmlns:a14="http://schemas.microsoft.com/office/drawing/2010/main" Requires="a14">
        <xdr:graphicFrame macro="">
          <xdr:nvGraphicFramePr>
            <xdr:cNvPr id="26" name="Purchase">
              <a:extLst>
                <a:ext uri="{FF2B5EF4-FFF2-40B4-BE49-F238E27FC236}">
                  <a16:creationId xmlns:a16="http://schemas.microsoft.com/office/drawing/2014/main" id="{690ABC37-69C9-4288-8CBB-42032968A79C}"/>
                </a:ext>
              </a:extLst>
            </xdr:cNvPr>
            <xdr:cNvGraphicFramePr/>
          </xdr:nvGraphicFramePr>
          <xdr:xfrm>
            <a:off x="0" y="0"/>
            <a:ext cx="0" cy="0"/>
          </xdr:xfrm>
          <a:graphic>
            <a:graphicData uri="http://schemas.microsoft.com/office/drawing/2010/slicer">
              <sle:slicer xmlns:sle="http://schemas.microsoft.com/office/drawing/2010/slicer" name="Purchase"/>
            </a:graphicData>
          </a:graphic>
        </xdr:graphicFrame>
      </mc:Choice>
      <mc:Fallback>
        <xdr:sp macro="" textlink="">
          <xdr:nvSpPr>
            <xdr:cNvPr id="0" name=""/>
            <xdr:cNvSpPr>
              <a:spLocks noTextEdit="1"/>
            </xdr:cNvSpPr>
          </xdr:nvSpPr>
          <xdr:spPr>
            <a:xfrm>
              <a:off x="9144000" y="1280161"/>
              <a:ext cx="1790700" cy="8458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12</xdr:row>
      <xdr:rowOff>0</xdr:rowOff>
    </xdr:from>
    <xdr:to>
      <xdr:col>18</xdr:col>
      <xdr:colOff>15240</xdr:colOff>
      <xdr:row>18</xdr:row>
      <xdr:rowOff>30480</xdr:rowOff>
    </xdr:to>
    <mc:AlternateContent xmlns:mc="http://schemas.openxmlformats.org/markup-compatibility/2006">
      <mc:Choice xmlns:a14="http://schemas.microsoft.com/office/drawing/2010/main" Requires="a14">
        <xdr:graphicFrame macro="">
          <xdr:nvGraphicFramePr>
            <xdr:cNvPr id="27" name="Product">
              <a:extLst>
                <a:ext uri="{FF2B5EF4-FFF2-40B4-BE49-F238E27FC236}">
                  <a16:creationId xmlns:a16="http://schemas.microsoft.com/office/drawing/2014/main" id="{AC1CC852-FA94-4275-90E3-1F794EB51DF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144000" y="2194560"/>
              <a:ext cx="1844040" cy="11277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594360</xdr:colOff>
      <xdr:row>18</xdr:row>
      <xdr:rowOff>83820</xdr:rowOff>
    </xdr:from>
    <xdr:to>
      <xdr:col>18</xdr:col>
      <xdr:colOff>22860</xdr:colOff>
      <xdr:row>30</xdr:row>
      <xdr:rowOff>91440</xdr:rowOff>
    </xdr:to>
    <mc:AlternateContent xmlns:mc="http://schemas.openxmlformats.org/markup-compatibility/2006">
      <mc:Choice xmlns:a14="http://schemas.microsoft.com/office/drawing/2010/main" Requires="a14">
        <xdr:graphicFrame macro="">
          <xdr:nvGraphicFramePr>
            <xdr:cNvPr id="28" name="Province">
              <a:extLst>
                <a:ext uri="{FF2B5EF4-FFF2-40B4-BE49-F238E27FC236}">
                  <a16:creationId xmlns:a16="http://schemas.microsoft.com/office/drawing/2014/main" id="{6A4402EA-620D-4AD9-A094-A07728E46FE8}"/>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dr:sp macro="" textlink="">
          <xdr:nvSpPr>
            <xdr:cNvPr id="0" name=""/>
            <xdr:cNvSpPr>
              <a:spLocks noTextEdit="1"/>
            </xdr:cNvSpPr>
          </xdr:nvSpPr>
          <xdr:spPr>
            <a:xfrm>
              <a:off x="9128760" y="3375660"/>
              <a:ext cx="1866900" cy="220218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30</xdr:row>
      <xdr:rowOff>121920</xdr:rowOff>
    </xdr:from>
    <xdr:to>
      <xdr:col>18</xdr:col>
      <xdr:colOff>0</xdr:colOff>
      <xdr:row>44</xdr:row>
      <xdr:rowOff>28575</xdr:rowOff>
    </xdr:to>
    <mc:AlternateContent xmlns:mc="http://schemas.openxmlformats.org/markup-compatibility/2006">
      <mc:Choice xmlns:a14="http://schemas.microsoft.com/office/drawing/2010/main" Requires="a14">
        <xdr:graphicFrame macro="">
          <xdr:nvGraphicFramePr>
            <xdr:cNvPr id="32" name="Source">
              <a:extLst>
                <a:ext uri="{FF2B5EF4-FFF2-40B4-BE49-F238E27FC236}">
                  <a16:creationId xmlns:a16="http://schemas.microsoft.com/office/drawing/2014/main" id="{2726ADA2-41A6-44B4-8998-8962894C1F5B}"/>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dr:sp macro="" textlink="">
          <xdr:nvSpPr>
            <xdr:cNvPr id="0" name=""/>
            <xdr:cNvSpPr>
              <a:spLocks noTextEdit="1"/>
            </xdr:cNvSpPr>
          </xdr:nvSpPr>
          <xdr:spPr>
            <a:xfrm>
              <a:off x="9144000" y="560832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32</xdr:row>
      <xdr:rowOff>22860</xdr:rowOff>
    </xdr:from>
    <xdr:ext cx="6080760" cy="2346925"/>
    <xdr:sp macro="" textlink="">
      <xdr:nvSpPr>
        <xdr:cNvPr id="37" name="TextBox 36">
          <a:extLst>
            <a:ext uri="{FF2B5EF4-FFF2-40B4-BE49-F238E27FC236}">
              <a16:creationId xmlns:a16="http://schemas.microsoft.com/office/drawing/2014/main" id="{6B01D33B-35AF-2B71-E842-B1A7363AF607}"/>
            </a:ext>
          </a:extLst>
        </xdr:cNvPr>
        <xdr:cNvSpPr txBox="1"/>
      </xdr:nvSpPr>
      <xdr:spPr>
        <a:xfrm>
          <a:off x="0" y="5875020"/>
          <a:ext cx="6080760" cy="2346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1200" b="1"/>
            <a:t>Key Business Insights:</a:t>
          </a:r>
        </a:p>
        <a:p>
          <a:r>
            <a:rPr lang="en-ZA" sz="1100" b="0"/>
            <a:t>• The</a:t>
          </a:r>
          <a:r>
            <a:rPr lang="en-ZA" sz="1100" b="0" baseline="0"/>
            <a:t> </a:t>
          </a:r>
          <a:r>
            <a:rPr lang="en-ZA" sz="1100" b="1" baseline="0"/>
            <a:t>Website </a:t>
          </a:r>
          <a:r>
            <a:rPr lang="en-ZA" sz="1100" b="0" baseline="0"/>
            <a:t>is the most effective customer acquisition channel, generating the highest number of customer enquiries.</a:t>
          </a:r>
        </a:p>
        <a:p>
          <a:r>
            <a:rPr lang="en-ZA" sz="1100" b="0" baseline="0"/>
            <a:t>• The </a:t>
          </a:r>
          <a:r>
            <a:rPr lang="en-ZA" sz="1100" b="1" baseline="0"/>
            <a:t>Premium Plan </a:t>
          </a:r>
          <a:r>
            <a:rPr lang="en-ZA" sz="1100" b="0" baseline="0"/>
            <a:t>is the best-performing product, generating the highest revenue (</a:t>
          </a:r>
          <a:r>
            <a:rPr lang="en-ZA" sz="1100" b="1" baseline="0"/>
            <a:t>R26,950</a:t>
          </a:r>
          <a:r>
            <a:rPr lang="en-ZA" sz="1100" b="0" baseline="0"/>
            <a:t>), followed by the Standard Plan (</a:t>
          </a:r>
          <a:r>
            <a:rPr lang="en-ZA" sz="1100" b="1" baseline="0"/>
            <a:t>R10,470</a:t>
          </a:r>
          <a:r>
            <a:rPr lang="en-ZA" sz="1100" b="0" baseline="0"/>
            <a:t>).</a:t>
          </a:r>
        </a:p>
        <a:p>
          <a:r>
            <a:rPr lang="en-ZA" sz="1100" b="0" baseline="0"/>
            <a:t>• </a:t>
          </a:r>
          <a:r>
            <a:rPr lang="en-ZA" sz="1100" b="1" baseline="0"/>
            <a:t>Gauteng</a:t>
          </a:r>
          <a:r>
            <a:rPr lang="en-ZA" sz="1100" b="0" baseline="0"/>
            <a:t> has the largest customer base (</a:t>
          </a:r>
          <a:r>
            <a:rPr lang="en-ZA" sz="1100" b="1" baseline="0"/>
            <a:t>16 customers</a:t>
          </a:r>
          <a:r>
            <a:rPr lang="en-ZA" sz="1100" b="0" baseline="0"/>
            <a:t>), making it the startup's strongest market, while other provinces present opportunities for expansion.</a:t>
          </a:r>
        </a:p>
        <a:p>
          <a:r>
            <a:rPr lang="en-ZA" sz="1100" b="0" baseline="0"/>
            <a:t>• The startup achivied </a:t>
          </a:r>
          <a:r>
            <a:rPr lang="en-ZA" sz="1100" b="1" baseline="0"/>
            <a:t>a 75% conversion rate</a:t>
          </a:r>
          <a:r>
            <a:rPr lang="en-ZA" sz="1100" b="0" baseline="0"/>
            <a:t>, with </a:t>
          </a:r>
          <a:r>
            <a:rPr lang="en-ZA" sz="1100" b="1" baseline="0"/>
            <a:t>30 out of 40 customers </a:t>
          </a:r>
          <a:r>
            <a:rPr lang="en-ZA" sz="1100" b="0" baseline="0"/>
            <a:t>making a purchase, indicating effective customer acquisition.</a:t>
          </a:r>
        </a:p>
        <a:p>
          <a:r>
            <a:rPr lang="en-ZA" sz="1100" b="0" baseline="0"/>
            <a:t>• The business generated a total revenue of </a:t>
          </a:r>
          <a:r>
            <a:rPr lang="en-ZA" sz="1100" b="1" baseline="0"/>
            <a:t>R40,000</a:t>
          </a:r>
          <a:r>
            <a:rPr lang="en-ZA" sz="1100" b="0" baseline="0"/>
            <a:t>, with an average customer spend of approximately </a:t>
          </a:r>
          <a:r>
            <a:rPr lang="en-ZA" sz="1100" b="1" baseline="0"/>
            <a:t>R1000</a:t>
          </a:r>
          <a:r>
            <a:rPr lang="en-ZA" sz="1100" b="0" baseline="0"/>
            <a:t> per customer.</a:t>
          </a:r>
        </a:p>
        <a:p>
          <a:r>
            <a:rPr lang="en-ZA" sz="1100" b="0" baseline="0"/>
            <a:t>• The overall customer satisfaction score is </a:t>
          </a:r>
          <a:r>
            <a:rPr lang="en-ZA" sz="1100" b="1" baseline="0"/>
            <a:t>4.05 out of 5</a:t>
          </a:r>
          <a:r>
            <a:rPr lang="en-ZA" sz="1100" b="0" baseline="0"/>
            <a:t>, indicating that most customers are satisfied with the products and services.</a:t>
          </a:r>
          <a:endParaRPr lang="en-ZA" sz="1100" b="0"/>
        </a:p>
      </xdr:txBody>
    </xdr:sp>
    <xdr:clientData/>
  </xdr:oneCellAnchor>
  <xdr:twoCellAnchor>
    <xdr:from>
      <xdr:col>16</xdr:col>
      <xdr:colOff>121920</xdr:colOff>
      <xdr:row>2</xdr:row>
      <xdr:rowOff>7620</xdr:rowOff>
    </xdr:from>
    <xdr:to>
      <xdr:col>19</xdr:col>
      <xdr:colOff>83820</xdr:colOff>
      <xdr:row>6</xdr:row>
      <xdr:rowOff>15240</xdr:rowOff>
    </xdr:to>
    <xdr:grpSp>
      <xdr:nvGrpSpPr>
        <xdr:cNvPr id="40" name="Group 39">
          <a:extLst>
            <a:ext uri="{FF2B5EF4-FFF2-40B4-BE49-F238E27FC236}">
              <a16:creationId xmlns:a16="http://schemas.microsoft.com/office/drawing/2014/main" id="{9E8DDEAC-8157-336A-BFB1-D62700EE8432}"/>
            </a:ext>
          </a:extLst>
        </xdr:cNvPr>
        <xdr:cNvGrpSpPr/>
      </xdr:nvGrpSpPr>
      <xdr:grpSpPr>
        <a:xfrm>
          <a:off x="9875520" y="373380"/>
          <a:ext cx="1790700" cy="739140"/>
          <a:chOff x="10386060" y="381000"/>
          <a:chExt cx="1790700" cy="739140"/>
        </a:xfrm>
      </xdr:grpSpPr>
      <xdr:sp macro="" textlink="Calculations!B7">
        <xdr:nvSpPr>
          <xdr:cNvPr id="38" name="Rectangle: Rounded Corners 37">
            <a:extLst>
              <a:ext uri="{FF2B5EF4-FFF2-40B4-BE49-F238E27FC236}">
                <a16:creationId xmlns:a16="http://schemas.microsoft.com/office/drawing/2014/main" id="{B0223992-7B90-45B9-38BB-FA2F50F7D363}"/>
              </a:ext>
            </a:extLst>
          </xdr:cNvPr>
          <xdr:cNvSpPr/>
        </xdr:nvSpPr>
        <xdr:spPr>
          <a:xfrm>
            <a:off x="10393680" y="381000"/>
            <a:ext cx="1783080" cy="7391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i="0" u="none" strike="noStrike">
              <a:solidFill>
                <a:srgbClr val="000000"/>
              </a:solidFill>
              <a:latin typeface="Calibri"/>
              <a:ea typeface="Calibri"/>
              <a:cs typeface="Calibri"/>
            </a:endParaRPr>
          </a:p>
          <a:p>
            <a:pPr algn="ctr"/>
            <a:fld id="{E9F59188-A7F7-43DB-AAC6-8197567B4FFA}" type="TxLink">
              <a:rPr lang="en-US" sz="1800" b="1" i="0" u="none" strike="noStrike">
                <a:solidFill>
                  <a:srgbClr val="000000"/>
                </a:solidFill>
                <a:latin typeface="Calibri"/>
                <a:ea typeface="Calibri"/>
                <a:cs typeface="Calibri"/>
              </a:rPr>
              <a:pPr algn="ctr"/>
              <a:t>R1 333,33</a:t>
            </a:fld>
            <a:endParaRPr lang="en-ZA" sz="1100"/>
          </a:p>
        </xdr:txBody>
      </xdr:sp>
      <xdr:sp macro="" textlink="">
        <xdr:nvSpPr>
          <xdr:cNvPr id="39" name="TextBox 38">
            <a:extLst>
              <a:ext uri="{FF2B5EF4-FFF2-40B4-BE49-F238E27FC236}">
                <a16:creationId xmlns:a16="http://schemas.microsoft.com/office/drawing/2014/main" id="{5471B1E4-7516-3635-33C4-5D54817AB61C}"/>
              </a:ext>
            </a:extLst>
          </xdr:cNvPr>
          <xdr:cNvSpPr txBox="1"/>
        </xdr:nvSpPr>
        <xdr:spPr>
          <a:xfrm>
            <a:off x="10386060" y="434340"/>
            <a:ext cx="175260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ZA" sz="1600"/>
              <a:t>Avg Spend/Cust</a:t>
            </a: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IPO NE" refreshedDate="46219.829096875001" createdVersion="8" refreshedVersion="8" minRefreshableVersion="3" recordCount="40" xr:uid="{6CF6EECC-D89C-44B7-B9B3-10F941217B44}">
  <cacheSource type="worksheet">
    <worksheetSource name="CustomerTable"/>
  </cacheSource>
  <cacheFields count="13">
    <cacheField name="Customer ID" numFmtId="0">
      <sharedItems/>
    </cacheField>
    <cacheField name="Date" numFmtId="0">
      <sharedItems/>
    </cacheField>
    <cacheField name="Source" numFmtId="0">
      <sharedItems count="10">
        <s v="Website"/>
        <s v="Facebook"/>
        <s v="Online Form"/>
        <s v="Customer Support"/>
        <s v="Interview"/>
        <s v="Paper Form"/>
        <s v="Instagram"/>
        <s v="Email"/>
        <s v="Telephone"/>
        <s v="Walk-in"/>
      </sharedItems>
    </cacheField>
    <cacheField name="Customer Name" numFmtId="0">
      <sharedItems/>
    </cacheField>
    <cacheField name="Gender" numFmtId="0">
      <sharedItems/>
    </cacheField>
    <cacheField name="Age Group" numFmtId="0">
      <sharedItems/>
    </cacheField>
    <cacheField name="Province" numFmtId="0">
      <sharedItems count="7">
        <s v="Gauteng"/>
        <s v="Limpopo"/>
        <s v="Mpumalanga"/>
        <s v="North West"/>
        <s v="Free State"/>
        <s v="KwaZulu-Natal"/>
        <s v="Eastern Cape"/>
      </sharedItems>
    </cacheField>
    <cacheField name="Product" numFmtId="0">
      <sharedItems count="3">
        <s v="Premium Plan"/>
        <s v="Basic Plan"/>
        <s v="Standard Plan"/>
      </sharedItems>
    </cacheField>
    <cacheField name="Enquiry Type" numFmtId="0">
      <sharedItems/>
    </cacheField>
    <cacheField name="Purchase" numFmtId="0">
      <sharedItems count="2">
        <s v="Yes"/>
        <s v="No"/>
      </sharedItems>
    </cacheField>
    <cacheField name="Amount Spent (R)" numFmtId="0">
      <sharedItems containsSemiMixedTypes="0" containsString="0" containsNumber="1" containsInteger="1" minValue="0" maxValue="2400"/>
    </cacheField>
    <cacheField name="Satisfaction (1-5)" numFmtId="0">
      <sharedItems containsSemiMixedTypes="0" containsString="0" containsNumber="1" containsInteger="1" minValue="2" maxValue="5"/>
    </cacheField>
    <cacheField name="Comments" numFmtId="0">
      <sharedItems/>
    </cacheField>
  </cacheFields>
  <extLst>
    <ext xmlns:x14="http://schemas.microsoft.com/office/spreadsheetml/2009/9/main" uri="{725AE2AE-9491-48be-B2B4-4EB974FC3084}">
      <x14:pivotCacheDefinition pivotCacheId="545524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C001"/>
    <s v="01/07/2026"/>
    <x v="0"/>
    <s v="John Smith"/>
    <s v="Male"/>
    <s v="25-34"/>
    <x v="0"/>
    <x v="0"/>
    <s v="Pricing"/>
    <x v="0"/>
    <n v="1500"/>
    <n v="5"/>
    <s v="Easy signup"/>
  </r>
  <r>
    <s v="C002"/>
    <s v="01/07/2026"/>
    <x v="1"/>
    <s v="Sarah Mokoena"/>
    <s v="Female"/>
    <s v="18-24"/>
    <x v="1"/>
    <x v="1"/>
    <s v="Information"/>
    <x v="1"/>
    <n v="0"/>
    <n v="3"/>
    <s v="Still deciding"/>
  </r>
  <r>
    <s v="C003"/>
    <s v="02/07/2026"/>
    <x v="2"/>
    <s v="Peter Dube"/>
    <s v="Male"/>
    <s v="35-44"/>
    <x v="2"/>
    <x v="0"/>
    <s v="Registration"/>
    <x v="0"/>
    <n v="2200"/>
    <n v="5"/>
    <s v="Excellent service"/>
  </r>
  <r>
    <s v="C004"/>
    <s v="02/07/2026"/>
    <x v="3"/>
    <s v="Mary Nkosi"/>
    <s v="Female"/>
    <s v="25-34"/>
    <x v="0"/>
    <x v="2"/>
    <s v="Complaint"/>
    <x v="0"/>
    <n v="850"/>
    <n v="2"/>
    <s v="Delivery delayed"/>
  </r>
  <r>
    <s v="C005"/>
    <s v="03/07/2026"/>
    <x v="4"/>
    <s v="David Moyo"/>
    <s v="Male"/>
    <s v="45-54"/>
    <x v="3"/>
    <x v="0"/>
    <s v="Feedback"/>
    <x v="1"/>
    <n v="0"/>
    <n v="4"/>
    <s v="Wants more features"/>
  </r>
  <r>
    <s v="C006"/>
    <s v="03/07/2026"/>
    <x v="5"/>
    <s v="Lerato Khumalo"/>
    <s v="Female"/>
    <s v="18-24"/>
    <x v="4"/>
    <x v="1"/>
    <s v="Information"/>
    <x v="0"/>
    <n v="450"/>
    <n v="4"/>
    <s v="Good value"/>
  </r>
  <r>
    <s v="C007"/>
    <s v="04/07/2026"/>
    <x v="0"/>
    <s v="Sipho Ndlovu"/>
    <s v="Male"/>
    <s v="25-34"/>
    <x v="5"/>
    <x v="0"/>
    <s v="Pricing"/>
    <x v="0"/>
    <n v="1750"/>
    <n v="5"/>
    <s v="Very satisfied"/>
  </r>
  <r>
    <s v="C008"/>
    <s v="04/07/2026"/>
    <x v="6"/>
    <s v="Zanele Maseko"/>
    <s v="Female"/>
    <s v="18-24"/>
    <x v="0"/>
    <x v="1"/>
    <s v="Information"/>
    <x v="1"/>
    <n v="0"/>
    <n v="3"/>
    <s v="Comparing options"/>
  </r>
  <r>
    <s v="C009"/>
    <s v="05/07/2026"/>
    <x v="7"/>
    <s v="Brian Tshabalala"/>
    <s v="Male"/>
    <s v="35-44"/>
    <x v="1"/>
    <x v="2"/>
    <s v="Support"/>
    <x v="0"/>
    <n v="980"/>
    <n v="4"/>
    <s v="Resolved quickly"/>
  </r>
  <r>
    <s v="C010"/>
    <s v="05/07/2026"/>
    <x v="8"/>
    <s v="Nomsa Mthembu"/>
    <s v="Female"/>
    <s v="45-54"/>
    <x v="2"/>
    <x v="0"/>
    <s v="Pricing"/>
    <x v="0"/>
    <n v="2100"/>
    <n v="5"/>
    <s v="Friendly staff"/>
  </r>
  <r>
    <s v="C011"/>
    <s v="06/07/2026"/>
    <x v="0"/>
    <s v="Kabelo Molefe"/>
    <s v="Male"/>
    <s v="25-34"/>
    <x v="0"/>
    <x v="1"/>
    <s v="Information"/>
    <x v="1"/>
    <n v="0"/>
    <n v="4"/>
    <s v="Requested brochure"/>
  </r>
  <r>
    <s v="C012"/>
    <s v="06/07/2026"/>
    <x v="1"/>
    <s v="Thandi Dlamini"/>
    <s v="Female"/>
    <s v="35-44"/>
    <x v="6"/>
    <x v="2"/>
    <s v="Registration"/>
    <x v="0"/>
    <n v="950"/>
    <n v="4"/>
    <s v="Happy customer"/>
  </r>
  <r>
    <s v="C013"/>
    <s v="07/07/2026"/>
    <x v="2"/>
    <s v="Jacob Sithole"/>
    <s v="Male"/>
    <s v="18-24"/>
    <x v="1"/>
    <x v="1"/>
    <s v="Pricing"/>
    <x v="0"/>
    <n v="500"/>
    <n v="5"/>
    <s v="Fast response"/>
  </r>
  <r>
    <s v="C014"/>
    <s v="07/07/2026"/>
    <x v="3"/>
    <s v="Grace Mokoena"/>
    <s v="Female"/>
    <s v="55+"/>
    <x v="0"/>
    <x v="0"/>
    <s v="Complaint"/>
    <x v="0"/>
    <n v="1800"/>
    <n v="2"/>
    <s v="Billing issue"/>
  </r>
  <r>
    <s v="C015"/>
    <s v="08/07/2026"/>
    <x v="0"/>
    <s v="Samuel Radebe"/>
    <s v="Male"/>
    <s v="35-44"/>
    <x v="0"/>
    <x v="0"/>
    <s v="Information"/>
    <x v="0"/>
    <n v="1650"/>
    <n v="5"/>
    <s v="Smooth experience"/>
  </r>
  <r>
    <s v="C016"/>
    <s v="08/07/2026"/>
    <x v="9"/>
    <s v="Alice Phiri"/>
    <s v="Female"/>
    <s v="25-34"/>
    <x v="1"/>
    <x v="2"/>
    <s v="Registration"/>
    <x v="0"/>
    <n v="900"/>
    <n v="4"/>
    <s v="Helpful consultant"/>
  </r>
  <r>
    <s v="C017"/>
    <s v="09/07/2026"/>
    <x v="6"/>
    <s v="Musa Zulu"/>
    <s v="Male"/>
    <s v="18-24"/>
    <x v="5"/>
    <x v="1"/>
    <s v="Feedback"/>
    <x v="1"/>
    <n v="0"/>
    <n v="3"/>
    <s v="Likes the product"/>
  </r>
  <r>
    <s v="C018"/>
    <s v="09/07/2026"/>
    <x v="0"/>
    <s v="Patricia Ncube"/>
    <s v="Female"/>
    <s v="45-54"/>
    <x v="0"/>
    <x v="0"/>
    <s v="Pricing"/>
    <x v="0"/>
    <n v="2400"/>
    <n v="5"/>
    <s v="Excellent"/>
  </r>
  <r>
    <s v="C019"/>
    <s v="10/07/2026"/>
    <x v="7"/>
    <s v="Michael Mulaudzi"/>
    <s v="Male"/>
    <s v="35-44"/>
    <x v="1"/>
    <x v="2"/>
    <s v="Support"/>
    <x v="0"/>
    <n v="1200"/>
    <n v="4"/>
    <s v="Good support"/>
  </r>
  <r>
    <s v="C020"/>
    <s v="10/07/2026"/>
    <x v="5"/>
    <s v="Agnes Baloyi"/>
    <s v="Female"/>
    <s v="55+"/>
    <x v="2"/>
    <x v="1"/>
    <s v="Information"/>
    <x v="1"/>
    <n v="0"/>
    <n v="4"/>
    <s v="Interested later"/>
  </r>
  <r>
    <s v="C021"/>
    <s v="11/07/2026"/>
    <x v="1"/>
    <s v="Tshepo Mahlangu"/>
    <s v="Male"/>
    <s v="25-34"/>
    <x v="0"/>
    <x v="0"/>
    <s v="Registration"/>
    <x v="0"/>
    <n v="1900"/>
    <n v="5"/>
    <s v="Very happy"/>
  </r>
  <r>
    <s v="C022"/>
    <s v="11/07/2026"/>
    <x v="0"/>
    <s v="Bonolo Seema"/>
    <s v="Female"/>
    <s v="18-24"/>
    <x v="3"/>
    <x v="1"/>
    <s v="Pricing"/>
    <x v="0"/>
    <n v="600"/>
    <n v="4"/>
    <s v="Affordable"/>
  </r>
  <r>
    <s v="C023"/>
    <s v="12/07/2026"/>
    <x v="3"/>
    <s v="Patrick Mabena"/>
    <s v="Male"/>
    <s v="45-54"/>
    <x v="0"/>
    <x v="2"/>
    <s v="Complaint"/>
    <x v="0"/>
    <n v="1100"/>
    <n v="2"/>
    <s v="Waiting replacement"/>
  </r>
  <r>
    <s v="C024"/>
    <s v="12/07/2026"/>
    <x v="4"/>
    <s v="Queen Mhlongo"/>
    <s v="Female"/>
    <s v="35-44"/>
    <x v="5"/>
    <x v="0"/>
    <s v="Feedback"/>
    <x v="1"/>
    <n v="0"/>
    <n v="5"/>
    <s v="Suggested package"/>
  </r>
  <r>
    <s v="C025"/>
    <s v="13/07/2026"/>
    <x v="0"/>
    <s v="Isaac Chirwa"/>
    <s v="Male"/>
    <s v="25-34"/>
    <x v="0"/>
    <x v="0"/>
    <s v="Information"/>
    <x v="0"/>
    <n v="1600"/>
    <n v="5"/>
    <s v="Good experience"/>
  </r>
  <r>
    <s v="C026"/>
    <s v="13/07/2026"/>
    <x v="2"/>
    <s v="Faith Ncube"/>
    <s v="Female"/>
    <s v="18-24"/>
    <x v="1"/>
    <x v="1"/>
    <s v="Registration"/>
    <x v="0"/>
    <n v="550"/>
    <n v="5"/>
    <s v="Easy application"/>
  </r>
  <r>
    <s v="C027"/>
    <s v="14/07/2026"/>
    <x v="8"/>
    <s v="Richard Hlongwane"/>
    <s v="Male"/>
    <s v="35-44"/>
    <x v="2"/>
    <x v="2"/>
    <s v="Pricing"/>
    <x v="0"/>
    <n v="950"/>
    <n v="4"/>
    <s v="Quick process"/>
  </r>
  <r>
    <s v="C028"/>
    <s v="14/07/2026"/>
    <x v="6"/>
    <s v="Naomi Sibanda"/>
    <s v="Female"/>
    <s v="25-34"/>
    <x v="0"/>
    <x v="0"/>
    <s v="Information"/>
    <x v="1"/>
    <n v="0"/>
    <n v="3"/>
    <s v="Requested callback"/>
  </r>
  <r>
    <s v="C029"/>
    <s v="15/07/2026"/>
    <x v="0"/>
    <s v="Joseph Marumo"/>
    <s v="Male"/>
    <s v="45-54"/>
    <x v="4"/>
    <x v="0"/>
    <s v="Pricing"/>
    <x v="0"/>
    <n v="2300"/>
    <n v="5"/>
    <s v="Highly satisfied"/>
  </r>
  <r>
    <s v="C030"/>
    <s v="15/07/2026"/>
    <x v="3"/>
    <s v="Linda Mofokeng"/>
    <s v="Female"/>
    <s v="35-44"/>
    <x v="0"/>
    <x v="2"/>
    <s v="Complaint"/>
    <x v="0"/>
    <n v="1000"/>
    <n v="3"/>
    <s v="Issue resolved"/>
  </r>
  <r>
    <s v="C031"/>
    <s v="16/07/2026"/>
    <x v="9"/>
    <s v="Vusi Nxumalo"/>
    <s v="Male"/>
    <s v="25-34"/>
    <x v="5"/>
    <x v="1"/>
    <s v="Information"/>
    <x v="0"/>
    <n v="480"/>
    <n v="4"/>
    <s v="Friendly service"/>
  </r>
  <r>
    <s v="C032"/>
    <s v="16/07/2026"/>
    <x v="1"/>
    <s v="Caroline Ramabulana"/>
    <s v="Female"/>
    <s v="18-24"/>
    <x v="1"/>
    <x v="0"/>
    <s v="Registration"/>
    <x v="0"/>
    <n v="1700"/>
    <n v="5"/>
    <s v="Excellent support"/>
  </r>
  <r>
    <s v="C033"/>
    <s v="17/07/2026"/>
    <x v="7"/>
    <s v="Daniel Motsepe"/>
    <s v="Male"/>
    <s v="35-44"/>
    <x v="0"/>
    <x v="2"/>
    <s v="Support"/>
    <x v="0"/>
    <n v="890"/>
    <n v="4"/>
    <s v="Quick response"/>
  </r>
  <r>
    <s v="C034"/>
    <s v="17/07/2026"/>
    <x v="0"/>
    <s v="Precious Maseko"/>
    <s v="Female"/>
    <s v="25-34"/>
    <x v="0"/>
    <x v="0"/>
    <s v="Pricing"/>
    <x v="0"/>
    <n v="2050"/>
    <n v="5"/>
    <s v="Great experience"/>
  </r>
  <r>
    <s v="C035"/>
    <s v="18/07/2026"/>
    <x v="2"/>
    <s v="Elias Netshitenzhe"/>
    <s v="Male"/>
    <s v="45-54"/>
    <x v="1"/>
    <x v="1"/>
    <s v="Feedback"/>
    <x v="1"/>
    <n v="0"/>
    <n v="4"/>
    <s v="Wants discounts"/>
  </r>
  <r>
    <s v="C036"/>
    <s v="18/07/2026"/>
    <x v="5"/>
    <s v="Rosina Mokoena"/>
    <s v="Female"/>
    <s v="55+"/>
    <x v="3"/>
    <x v="2"/>
    <s v="Information"/>
    <x v="0"/>
    <n v="700"/>
    <n v="4"/>
    <s v="Satisfied"/>
  </r>
  <r>
    <s v="C037"/>
    <s v="19/07/2026"/>
    <x v="6"/>
    <s v="Themba Zungu"/>
    <s v="Male"/>
    <s v="18-24"/>
    <x v="0"/>
    <x v="1"/>
    <s v="Pricing"/>
    <x v="1"/>
    <n v="0"/>
    <n v="3"/>
    <s v="Saving money"/>
  </r>
  <r>
    <s v="C038"/>
    <s v="19/07/2026"/>
    <x v="0"/>
    <s v="Evelyn Khosa"/>
    <s v="Female"/>
    <s v="35-44"/>
    <x v="2"/>
    <x v="0"/>
    <s v="Registration"/>
    <x v="0"/>
    <n v="2150"/>
    <n v="5"/>
    <s v="Excellent onboarding"/>
  </r>
  <r>
    <s v="C039"/>
    <s v="20/07/2026"/>
    <x v="3"/>
    <s v="Collins Mulaudzi"/>
    <s v="Male"/>
    <s v="25-34"/>
    <x v="1"/>
    <x v="2"/>
    <s v="Complaint"/>
    <x v="0"/>
    <n v="950"/>
    <n v="2"/>
    <s v="Follow-up required"/>
  </r>
  <r>
    <s v="C040"/>
    <s v="20/07/2026"/>
    <x v="1"/>
    <s v="Ruth Mahlangu"/>
    <s v="Female"/>
    <s v="35-44"/>
    <x v="0"/>
    <x v="0"/>
    <s v="Information"/>
    <x v="0"/>
    <n v="1850"/>
    <n v="5"/>
    <s v="Very impress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956ECA-F4E9-4DCB-8C38-1B82B9F3CF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E5" firstHeaderRow="1" firstDataRow="1" firstDataCol="1"/>
  <pivotFields count="13">
    <pivotField showAll="0"/>
    <pivotField showAll="0"/>
    <pivotField showAll="0">
      <items count="11">
        <item x="3"/>
        <item x="7"/>
        <item x="1"/>
        <item x="6"/>
        <item x="4"/>
        <item x="2"/>
        <item x="5"/>
        <item x="8"/>
        <item x="9"/>
        <item x="0"/>
        <item t="default"/>
      </items>
    </pivotField>
    <pivotField showAll="0"/>
    <pivotField showAll="0"/>
    <pivotField showAll="0"/>
    <pivotField showAll="0">
      <items count="8">
        <item x="6"/>
        <item x="4"/>
        <item x="0"/>
        <item x="5"/>
        <item x="1"/>
        <item x="2"/>
        <item x="3"/>
        <item t="default"/>
      </items>
    </pivotField>
    <pivotField axis="axisRow" showAll="0">
      <items count="4">
        <item x="1"/>
        <item x="0"/>
        <item x="2"/>
        <item t="default"/>
      </items>
    </pivotField>
    <pivotField showAll="0"/>
    <pivotField showAll="0">
      <items count="3">
        <item x="1"/>
        <item x="0"/>
        <item t="default"/>
      </items>
    </pivotField>
    <pivotField dataField="1" showAll="0"/>
    <pivotField showAll="0"/>
    <pivotField showAll="0"/>
  </pivotFields>
  <rowFields count="1">
    <field x="7"/>
  </rowFields>
  <rowItems count="4">
    <i>
      <x/>
    </i>
    <i>
      <x v="1"/>
    </i>
    <i>
      <x v="2"/>
    </i>
    <i t="grand">
      <x/>
    </i>
  </rowItems>
  <colItems count="1">
    <i/>
  </colItems>
  <dataFields count="1">
    <dataField name="Sum of Amount Spent (R)" fld="10"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7C11F3-DA96-4EF6-AB69-FE85D00FF1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13" firstHeaderRow="1" firstDataRow="1" firstDataCol="1"/>
  <pivotFields count="13">
    <pivotField dataField="1" showAll="0"/>
    <pivotField showAll="0"/>
    <pivotField axis="axisRow" showAll="0">
      <items count="11">
        <item x="3"/>
        <item x="7"/>
        <item x="1"/>
        <item x="6"/>
        <item x="4"/>
        <item x="2"/>
        <item x="5"/>
        <item x="8"/>
        <item x="9"/>
        <item x="0"/>
        <item t="default"/>
      </items>
    </pivotField>
    <pivotField showAll="0"/>
    <pivotField showAll="0"/>
    <pivotField showAll="0"/>
    <pivotField showAll="0">
      <items count="8">
        <item x="6"/>
        <item x="4"/>
        <item x="0"/>
        <item x="5"/>
        <item x="1"/>
        <item x="2"/>
        <item x="3"/>
        <item t="default"/>
      </items>
    </pivotField>
    <pivotField showAll="0">
      <items count="4">
        <item x="1"/>
        <item x="0"/>
        <item x="2"/>
        <item t="default"/>
      </items>
    </pivotField>
    <pivotField showAll="0"/>
    <pivotField showAll="0">
      <items count="3">
        <item x="1"/>
        <item x="0"/>
        <item t="default"/>
      </items>
    </pivotField>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Custom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 chart="3" format="18">
      <pivotArea type="data" outline="0" fieldPosition="0">
        <references count="2">
          <reference field="4294967294" count="1" selected="0">
            <x v="0"/>
          </reference>
          <reference field="2" count="1" selected="0">
            <x v="5"/>
          </reference>
        </references>
      </pivotArea>
    </chartFormat>
    <chartFormat chart="3" format="19">
      <pivotArea type="data" outline="0" fieldPosition="0">
        <references count="2">
          <reference field="4294967294" count="1" selected="0">
            <x v="0"/>
          </reference>
          <reference field="2" count="1" selected="0">
            <x v="6"/>
          </reference>
        </references>
      </pivotArea>
    </chartFormat>
    <chartFormat chart="3" format="20">
      <pivotArea type="data" outline="0" fieldPosition="0">
        <references count="2">
          <reference field="4294967294" count="1" selected="0">
            <x v="0"/>
          </reference>
          <reference field="2" count="1" selected="0">
            <x v="7"/>
          </reference>
        </references>
      </pivotArea>
    </chartFormat>
    <chartFormat chart="3" format="21">
      <pivotArea type="data" outline="0" fieldPosition="0">
        <references count="2">
          <reference field="4294967294" count="1" selected="0">
            <x v="0"/>
          </reference>
          <reference field="2" count="1" selected="0">
            <x v="8"/>
          </reference>
        </references>
      </pivotArea>
    </chartFormat>
    <chartFormat chart="3" format="22">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1C16BE-9213-4E2E-A131-A8B5AA7A63A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J13" firstHeaderRow="1" firstDataRow="2" firstDataCol="1"/>
  <pivotFields count="13">
    <pivotField dataField="1" showAll="0"/>
    <pivotField showAll="0"/>
    <pivotField axis="axisRow" showAll="0">
      <items count="11">
        <item x="3"/>
        <item x="7"/>
        <item x="1"/>
        <item x="6"/>
        <item x="4"/>
        <item x="2"/>
        <item x="5"/>
        <item x="8"/>
        <item x="9"/>
        <item x="0"/>
        <item t="default"/>
      </items>
    </pivotField>
    <pivotField showAll="0"/>
    <pivotField showAll="0"/>
    <pivotField showAll="0"/>
    <pivotField showAll="0">
      <items count="8">
        <item x="6"/>
        <item x="4"/>
        <item x="0"/>
        <item x="5"/>
        <item x="1"/>
        <item x="2"/>
        <item x="3"/>
        <item t="default"/>
      </items>
    </pivotField>
    <pivotField showAll="0">
      <items count="4">
        <item x="1"/>
        <item x="0"/>
        <item x="2"/>
        <item t="default"/>
      </items>
    </pivotField>
    <pivotField showAll="0"/>
    <pivotField axis="axisCol" showAll="0">
      <items count="3">
        <item x="1"/>
        <item x="0"/>
        <item t="default"/>
      </items>
    </pivotField>
    <pivotField showAll="0"/>
    <pivotField showAll="0"/>
    <pivotField showAll="0"/>
  </pivotFields>
  <rowFields count="1">
    <field x="2"/>
  </rowFields>
  <rowItems count="11">
    <i>
      <x/>
    </i>
    <i>
      <x v="1"/>
    </i>
    <i>
      <x v="2"/>
    </i>
    <i>
      <x v="3"/>
    </i>
    <i>
      <x v="4"/>
    </i>
    <i>
      <x v="5"/>
    </i>
    <i>
      <x v="6"/>
    </i>
    <i>
      <x v="7"/>
    </i>
    <i>
      <x v="8"/>
    </i>
    <i>
      <x v="9"/>
    </i>
    <i t="grand">
      <x/>
    </i>
  </rowItems>
  <colFields count="1">
    <field x="9"/>
  </colFields>
  <colItems count="3">
    <i>
      <x/>
    </i>
    <i>
      <x v="1"/>
    </i>
    <i t="grand">
      <x/>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0A21E5-2225-4A48-AA67-A2B45581A9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5:B26" firstHeaderRow="1" firstDataRow="1" firstDataCol="1"/>
  <pivotFields count="13">
    <pivotField showAll="0"/>
    <pivotField showAll="0"/>
    <pivotField axis="axisRow" showAll="0">
      <items count="11">
        <item x="3"/>
        <item x="7"/>
        <item x="1"/>
        <item x="6"/>
        <item x="4"/>
        <item x="2"/>
        <item x="5"/>
        <item x="8"/>
        <item x="9"/>
        <item x="0"/>
        <item t="default"/>
      </items>
    </pivotField>
    <pivotField showAll="0"/>
    <pivotField showAll="0"/>
    <pivotField showAll="0"/>
    <pivotField showAll="0">
      <items count="8">
        <item x="6"/>
        <item x="4"/>
        <item x="0"/>
        <item x="5"/>
        <item x="1"/>
        <item x="2"/>
        <item x="3"/>
        <item t="default"/>
      </items>
    </pivotField>
    <pivotField showAll="0">
      <items count="4">
        <item x="1"/>
        <item x="0"/>
        <item x="2"/>
        <item t="default"/>
      </items>
    </pivotField>
    <pivotField showAll="0"/>
    <pivotField showAll="0">
      <items count="3">
        <item x="1"/>
        <item x="0"/>
        <item t="default"/>
      </items>
    </pivotField>
    <pivotField showAll="0"/>
    <pivotField dataField="1" showAll="0"/>
    <pivotField showAll="0"/>
  </pivotFields>
  <rowFields count="1">
    <field x="2"/>
  </rowFields>
  <rowItems count="11">
    <i>
      <x/>
    </i>
    <i>
      <x v="1"/>
    </i>
    <i>
      <x v="2"/>
    </i>
    <i>
      <x v="3"/>
    </i>
    <i>
      <x v="4"/>
    </i>
    <i>
      <x v="5"/>
    </i>
    <i>
      <x v="6"/>
    </i>
    <i>
      <x v="7"/>
    </i>
    <i>
      <x v="8"/>
    </i>
    <i>
      <x v="9"/>
    </i>
    <i t="grand">
      <x/>
    </i>
  </rowItems>
  <colItems count="1">
    <i/>
  </colItems>
  <dataFields count="1">
    <dataField name="Average of Satisfaction (1-5)" fld="11" subtotal="average"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C3A116-9901-4CAC-9FDC-B564EC9FC16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8:E16" firstHeaderRow="1" firstDataRow="1" firstDataCol="1"/>
  <pivotFields count="13">
    <pivotField dataField="1" showAll="0"/>
    <pivotField showAll="0"/>
    <pivotField showAll="0">
      <items count="11">
        <item x="3"/>
        <item x="7"/>
        <item x="1"/>
        <item x="6"/>
        <item x="4"/>
        <item x="2"/>
        <item x="5"/>
        <item x="8"/>
        <item x="9"/>
        <item x="0"/>
        <item t="default"/>
      </items>
    </pivotField>
    <pivotField showAll="0"/>
    <pivotField showAll="0"/>
    <pivotField showAll="0"/>
    <pivotField axis="axisRow" showAll="0">
      <items count="8">
        <item x="6"/>
        <item x="4"/>
        <item x="0"/>
        <item x="5"/>
        <item x="1"/>
        <item x="2"/>
        <item x="3"/>
        <item t="default"/>
      </items>
    </pivotField>
    <pivotField showAll="0">
      <items count="4">
        <item x="1"/>
        <item x="0"/>
        <item x="2"/>
        <item t="default"/>
      </items>
    </pivotField>
    <pivotField showAll="0"/>
    <pivotField showAll="0">
      <items count="3">
        <item x="1"/>
        <item x="0"/>
        <item t="default"/>
      </items>
    </pivotField>
    <pivotField showAll="0"/>
    <pivotField showAll="0"/>
    <pivotField showAll="0"/>
  </pivotFields>
  <rowFields count="1">
    <field x="6"/>
  </rowFields>
  <rowItems count="8">
    <i>
      <x/>
    </i>
    <i>
      <x v="1"/>
    </i>
    <i>
      <x v="2"/>
    </i>
    <i>
      <x v="3"/>
    </i>
    <i>
      <x v="4"/>
    </i>
    <i>
      <x v="5"/>
    </i>
    <i>
      <x v="6"/>
    </i>
    <i t="grand">
      <x/>
    </i>
  </rowItems>
  <colItems count="1">
    <i/>
  </colItems>
  <dataFields count="1">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 xr10:uid="{8570BAFD-8AAF-437E-B4A0-3D7936922566}" sourceName="Purchase">
  <pivotTables>
    <pivotTable tabId="4" name="PivotTable3"/>
    <pivotTable tabId="4" name="PivotTable1"/>
    <pivotTable tabId="4" name="PivotTable2"/>
    <pivotTable tabId="4" name="PivotTable4"/>
    <pivotTable tabId="4" name="PivotTable5"/>
  </pivotTables>
  <data>
    <tabular pivotCacheId="545524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E9DD9AE-D7AF-4FA5-A5FB-D76D0DEF07FF}" sourceName="Product">
  <pivotTables>
    <pivotTable tabId="4" name="PivotTable3"/>
    <pivotTable tabId="4" name="PivotTable1"/>
    <pivotTable tabId="4" name="PivotTable2"/>
    <pivotTable tabId="4" name="PivotTable4"/>
    <pivotTable tabId="4" name="PivotTable5"/>
  </pivotTables>
  <data>
    <tabular pivotCacheId="5455241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2850F138-E001-48DA-A29E-310BB150A83C}" sourceName="Province">
  <pivotTables>
    <pivotTable tabId="4" name="PivotTable3"/>
    <pivotTable tabId="4" name="PivotTable1"/>
    <pivotTable tabId="4" name="PivotTable2"/>
    <pivotTable tabId="4" name="PivotTable4"/>
    <pivotTable tabId="4" name="PivotTable5"/>
  </pivotTables>
  <data>
    <tabular pivotCacheId="54552416">
      <items count="7">
        <i x="6" s="1"/>
        <i x="4" s="1"/>
        <i x="0" s="1"/>
        <i x="5"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0C87ED49-396D-4042-9C19-32181BEE05A7}" sourceName="Source">
  <pivotTables>
    <pivotTable tabId="4" name="PivotTable3"/>
    <pivotTable tabId="4" name="PivotTable1"/>
    <pivotTable tabId="4" name="PivotTable2"/>
    <pivotTable tabId="4" name="PivotTable4"/>
    <pivotTable tabId="4" name="PivotTable5"/>
  </pivotTables>
  <data>
    <tabular pivotCacheId="54552416">
      <items count="10">
        <i x="3" s="1"/>
        <i x="7" s="1"/>
        <i x="1" s="1"/>
        <i x="6" s="1"/>
        <i x="4" s="1"/>
        <i x="2" s="1"/>
        <i x="5" s="1"/>
        <i x="8" s="1"/>
        <i x="9"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xr10:uid="{09884B4D-021C-48A2-83C7-BC1E1FE622EF}" cache="Slicer_Purchase" caption="Purchase" rowHeight="234950"/>
  <slicer name="Product" xr10:uid="{593A277E-096A-4AB0-B442-0F9E5BC9E891}" cache="Slicer_Product" caption="Product" rowHeight="234950"/>
  <slicer name="Province" xr10:uid="{A4CAD472-68C6-4CA4-B4EE-3117F89D5598}" cache="Slicer_Province" caption="Province" rowHeight="234950"/>
  <slicer name="Source" xr10:uid="{0156B933-9E6C-4CBF-AB27-978B8CED9D17}" cache="Slicer_Source" caption="Sourc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Table" displayName="CustomerTable" ref="A1:M41">
  <autoFilter ref="A1:M41" xr:uid="{00000000-0009-0000-0100-000001000000}"/>
  <tableColumns count="13">
    <tableColumn id="1" xr3:uid="{00000000-0010-0000-0000-000001000000}" name="Customer ID"/>
    <tableColumn id="2" xr3:uid="{00000000-0010-0000-0000-000002000000}" name="Date"/>
    <tableColumn id="3" xr3:uid="{00000000-0010-0000-0000-000003000000}" name="Source"/>
    <tableColumn id="4" xr3:uid="{00000000-0010-0000-0000-000004000000}" name="Customer Name"/>
    <tableColumn id="5" xr3:uid="{00000000-0010-0000-0000-000005000000}" name="Gender"/>
    <tableColumn id="6" xr3:uid="{00000000-0010-0000-0000-000006000000}" name="Age Group"/>
    <tableColumn id="7" xr3:uid="{00000000-0010-0000-0000-000007000000}" name="Province"/>
    <tableColumn id="8" xr3:uid="{00000000-0010-0000-0000-000008000000}" name="Product"/>
    <tableColumn id="9" xr3:uid="{00000000-0010-0000-0000-000009000000}" name="Enquiry Type"/>
    <tableColumn id="10" xr3:uid="{00000000-0010-0000-0000-00000A000000}" name="Purchase"/>
    <tableColumn id="11" xr3:uid="{00000000-0010-0000-0000-00000B000000}" name="Amount Spent (R)"/>
    <tableColumn id="12" xr3:uid="{00000000-0010-0000-0000-00000C000000}" name="Satisfaction (1-5)"/>
    <tableColumn id="13" xr3:uid="{00000000-0010-0000-0000-00000D000000}"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
  <sheetViews>
    <sheetView topLeftCell="A2" workbookViewId="0">
      <selection activeCell="D5" sqref="D5"/>
    </sheetView>
  </sheetViews>
  <sheetFormatPr defaultRowHeight="14.4" x14ac:dyDescent="0.3"/>
  <cols>
    <col min="2" max="2" width="11.33203125" customWidth="1"/>
    <col min="3" max="3" width="16.21875" customWidth="1"/>
    <col min="4" max="4" width="18.33203125" customWidth="1"/>
    <col min="7" max="7" width="13.21875" customWidth="1"/>
    <col min="8" max="8" width="14.6640625" customWidth="1"/>
    <col min="9" max="9" width="11.6640625" customWidth="1"/>
    <col min="13" max="13" width="19.1093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H2" t="s">
        <v>20</v>
      </c>
      <c r="I2" t="s">
        <v>21</v>
      </c>
      <c r="J2" t="s">
        <v>22</v>
      </c>
      <c r="K2">
        <v>1500</v>
      </c>
      <c r="L2">
        <v>5</v>
      </c>
      <c r="M2" t="s">
        <v>23</v>
      </c>
    </row>
    <row r="3" spans="1:13" x14ac:dyDescent="0.3">
      <c r="A3" t="s">
        <v>24</v>
      </c>
      <c r="B3" t="s">
        <v>14</v>
      </c>
      <c r="C3" t="s">
        <v>25</v>
      </c>
      <c r="D3" t="s">
        <v>26</v>
      </c>
      <c r="E3" t="s">
        <v>27</v>
      </c>
      <c r="F3" t="s">
        <v>28</v>
      </c>
      <c r="G3" t="s">
        <v>29</v>
      </c>
      <c r="H3" t="s">
        <v>30</v>
      </c>
      <c r="I3" t="s">
        <v>31</v>
      </c>
      <c r="J3" t="s">
        <v>32</v>
      </c>
      <c r="K3">
        <v>0</v>
      </c>
      <c r="L3">
        <v>3</v>
      </c>
      <c r="M3" t="s">
        <v>33</v>
      </c>
    </row>
    <row r="4" spans="1:13" x14ac:dyDescent="0.3">
      <c r="A4" t="s">
        <v>34</v>
      </c>
      <c r="B4" t="s">
        <v>35</v>
      </c>
      <c r="C4" t="s">
        <v>36</v>
      </c>
      <c r="D4" t="s">
        <v>37</v>
      </c>
      <c r="E4" t="s">
        <v>17</v>
      </c>
      <c r="F4" t="s">
        <v>38</v>
      </c>
      <c r="G4" t="s">
        <v>39</v>
      </c>
      <c r="H4" t="s">
        <v>20</v>
      </c>
      <c r="I4" t="s">
        <v>40</v>
      </c>
      <c r="J4" t="s">
        <v>22</v>
      </c>
      <c r="K4">
        <v>2200</v>
      </c>
      <c r="L4">
        <v>5</v>
      </c>
      <c r="M4" t="s">
        <v>41</v>
      </c>
    </row>
    <row r="5" spans="1:13" x14ac:dyDescent="0.3">
      <c r="A5" t="s">
        <v>42</v>
      </c>
      <c r="B5" t="s">
        <v>35</v>
      </c>
      <c r="C5" t="s">
        <v>43</v>
      </c>
      <c r="D5" t="s">
        <v>44</v>
      </c>
      <c r="E5" t="s">
        <v>27</v>
      </c>
      <c r="F5" t="s">
        <v>18</v>
      </c>
      <c r="G5" t="s">
        <v>19</v>
      </c>
      <c r="H5" t="s">
        <v>45</v>
      </c>
      <c r="I5" t="s">
        <v>46</v>
      </c>
      <c r="J5" t="s">
        <v>22</v>
      </c>
      <c r="K5">
        <v>850</v>
      </c>
      <c r="L5">
        <v>2</v>
      </c>
      <c r="M5" t="s">
        <v>47</v>
      </c>
    </row>
    <row r="6" spans="1:13" x14ac:dyDescent="0.3">
      <c r="A6" t="s">
        <v>48</v>
      </c>
      <c r="B6" t="s">
        <v>49</v>
      </c>
      <c r="C6" t="s">
        <v>50</v>
      </c>
      <c r="D6" t="s">
        <v>51</v>
      </c>
      <c r="E6" t="s">
        <v>17</v>
      </c>
      <c r="F6" t="s">
        <v>52</v>
      </c>
      <c r="G6" t="s">
        <v>53</v>
      </c>
      <c r="H6" t="s">
        <v>20</v>
      </c>
      <c r="I6" t="s">
        <v>54</v>
      </c>
      <c r="J6" t="s">
        <v>32</v>
      </c>
      <c r="K6">
        <v>0</v>
      </c>
      <c r="L6">
        <v>4</v>
      </c>
      <c r="M6" t="s">
        <v>55</v>
      </c>
    </row>
    <row r="7" spans="1:13" x14ac:dyDescent="0.3">
      <c r="A7" t="s">
        <v>56</v>
      </c>
      <c r="B7" t="s">
        <v>49</v>
      </c>
      <c r="C7" t="s">
        <v>57</v>
      </c>
      <c r="D7" t="s">
        <v>58</v>
      </c>
      <c r="E7" t="s">
        <v>27</v>
      </c>
      <c r="F7" t="s">
        <v>28</v>
      </c>
      <c r="G7" t="s">
        <v>59</v>
      </c>
      <c r="H7" t="s">
        <v>30</v>
      </c>
      <c r="I7" t="s">
        <v>31</v>
      </c>
      <c r="J7" t="s">
        <v>22</v>
      </c>
      <c r="K7">
        <v>450</v>
      </c>
      <c r="L7">
        <v>4</v>
      </c>
      <c r="M7" t="s">
        <v>60</v>
      </c>
    </row>
    <row r="8" spans="1:13" x14ac:dyDescent="0.3">
      <c r="A8" t="s">
        <v>61</v>
      </c>
      <c r="B8" t="s">
        <v>62</v>
      </c>
      <c r="C8" t="s">
        <v>15</v>
      </c>
      <c r="D8" t="s">
        <v>63</v>
      </c>
      <c r="E8" t="s">
        <v>17</v>
      </c>
      <c r="F8" t="s">
        <v>18</v>
      </c>
      <c r="G8" t="s">
        <v>64</v>
      </c>
      <c r="H8" t="s">
        <v>20</v>
      </c>
      <c r="I8" t="s">
        <v>21</v>
      </c>
      <c r="J8" t="s">
        <v>22</v>
      </c>
      <c r="K8">
        <v>1750</v>
      </c>
      <c r="L8">
        <v>5</v>
      </c>
      <c r="M8" t="s">
        <v>65</v>
      </c>
    </row>
    <row r="9" spans="1:13" x14ac:dyDescent="0.3">
      <c r="A9" t="s">
        <v>66</v>
      </c>
      <c r="B9" t="s">
        <v>62</v>
      </c>
      <c r="C9" t="s">
        <v>67</v>
      </c>
      <c r="D9" t="s">
        <v>68</v>
      </c>
      <c r="E9" t="s">
        <v>27</v>
      </c>
      <c r="F9" t="s">
        <v>28</v>
      </c>
      <c r="G9" t="s">
        <v>19</v>
      </c>
      <c r="H9" t="s">
        <v>30</v>
      </c>
      <c r="I9" t="s">
        <v>31</v>
      </c>
      <c r="J9" t="s">
        <v>32</v>
      </c>
      <c r="K9">
        <v>0</v>
      </c>
      <c r="L9">
        <v>3</v>
      </c>
      <c r="M9" t="s">
        <v>69</v>
      </c>
    </row>
    <row r="10" spans="1:13" x14ac:dyDescent="0.3">
      <c r="A10" t="s">
        <v>70</v>
      </c>
      <c r="B10" t="s">
        <v>71</v>
      </c>
      <c r="C10" t="s">
        <v>72</v>
      </c>
      <c r="D10" t="s">
        <v>73</v>
      </c>
      <c r="E10" t="s">
        <v>17</v>
      </c>
      <c r="F10" t="s">
        <v>38</v>
      </c>
      <c r="G10" t="s">
        <v>29</v>
      </c>
      <c r="H10" t="s">
        <v>45</v>
      </c>
      <c r="I10" t="s">
        <v>74</v>
      </c>
      <c r="J10" t="s">
        <v>22</v>
      </c>
      <c r="K10">
        <v>980</v>
      </c>
      <c r="L10">
        <v>4</v>
      </c>
      <c r="M10" t="s">
        <v>75</v>
      </c>
    </row>
    <row r="11" spans="1:13" x14ac:dyDescent="0.3">
      <c r="A11" t="s">
        <v>76</v>
      </c>
      <c r="B11" t="s">
        <v>71</v>
      </c>
      <c r="C11" t="s">
        <v>77</v>
      </c>
      <c r="D11" t="s">
        <v>78</v>
      </c>
      <c r="E11" t="s">
        <v>27</v>
      </c>
      <c r="F11" t="s">
        <v>52</v>
      </c>
      <c r="G11" t="s">
        <v>39</v>
      </c>
      <c r="H11" t="s">
        <v>20</v>
      </c>
      <c r="I11" t="s">
        <v>21</v>
      </c>
      <c r="J11" t="s">
        <v>22</v>
      </c>
      <c r="K11">
        <v>2100</v>
      </c>
      <c r="L11">
        <v>5</v>
      </c>
      <c r="M11" t="s">
        <v>79</v>
      </c>
    </row>
    <row r="12" spans="1:13" x14ac:dyDescent="0.3">
      <c r="A12" t="s">
        <v>80</v>
      </c>
      <c r="B12" t="s">
        <v>81</v>
      </c>
      <c r="C12" t="s">
        <v>15</v>
      </c>
      <c r="D12" t="s">
        <v>82</v>
      </c>
      <c r="E12" t="s">
        <v>17</v>
      </c>
      <c r="F12" t="s">
        <v>18</v>
      </c>
      <c r="G12" t="s">
        <v>19</v>
      </c>
      <c r="H12" t="s">
        <v>30</v>
      </c>
      <c r="I12" t="s">
        <v>31</v>
      </c>
      <c r="J12" t="s">
        <v>32</v>
      </c>
      <c r="K12">
        <v>0</v>
      </c>
      <c r="L12">
        <v>4</v>
      </c>
      <c r="M12" t="s">
        <v>83</v>
      </c>
    </row>
    <row r="13" spans="1:13" x14ac:dyDescent="0.3">
      <c r="A13" t="s">
        <v>84</v>
      </c>
      <c r="B13" t="s">
        <v>81</v>
      </c>
      <c r="C13" t="s">
        <v>25</v>
      </c>
      <c r="D13" t="s">
        <v>85</v>
      </c>
      <c r="E13" t="s">
        <v>27</v>
      </c>
      <c r="F13" t="s">
        <v>38</v>
      </c>
      <c r="G13" t="s">
        <v>86</v>
      </c>
      <c r="H13" t="s">
        <v>45</v>
      </c>
      <c r="I13" t="s">
        <v>40</v>
      </c>
      <c r="J13" t="s">
        <v>22</v>
      </c>
      <c r="K13">
        <v>950</v>
      </c>
      <c r="L13">
        <v>4</v>
      </c>
      <c r="M13" t="s">
        <v>87</v>
      </c>
    </row>
    <row r="14" spans="1:13" x14ac:dyDescent="0.3">
      <c r="A14" t="s">
        <v>88</v>
      </c>
      <c r="B14" t="s">
        <v>89</v>
      </c>
      <c r="C14" t="s">
        <v>36</v>
      </c>
      <c r="D14" t="s">
        <v>90</v>
      </c>
      <c r="E14" t="s">
        <v>17</v>
      </c>
      <c r="F14" t="s">
        <v>28</v>
      </c>
      <c r="G14" t="s">
        <v>29</v>
      </c>
      <c r="H14" t="s">
        <v>30</v>
      </c>
      <c r="I14" t="s">
        <v>21</v>
      </c>
      <c r="J14" t="s">
        <v>22</v>
      </c>
      <c r="K14">
        <v>500</v>
      </c>
      <c r="L14">
        <v>5</v>
      </c>
      <c r="M14" t="s">
        <v>91</v>
      </c>
    </row>
    <row r="15" spans="1:13" x14ac:dyDescent="0.3">
      <c r="A15" t="s">
        <v>92</v>
      </c>
      <c r="B15" t="s">
        <v>89</v>
      </c>
      <c r="C15" t="s">
        <v>43</v>
      </c>
      <c r="D15" t="s">
        <v>93</v>
      </c>
      <c r="E15" t="s">
        <v>27</v>
      </c>
      <c r="F15" t="s">
        <v>94</v>
      </c>
      <c r="G15" t="s">
        <v>19</v>
      </c>
      <c r="H15" t="s">
        <v>20</v>
      </c>
      <c r="I15" t="s">
        <v>46</v>
      </c>
      <c r="J15" t="s">
        <v>22</v>
      </c>
      <c r="K15">
        <v>1800</v>
      </c>
      <c r="L15">
        <v>2</v>
      </c>
      <c r="M15" t="s">
        <v>95</v>
      </c>
    </row>
    <row r="16" spans="1:13" x14ac:dyDescent="0.3">
      <c r="A16" t="s">
        <v>96</v>
      </c>
      <c r="B16" t="s">
        <v>97</v>
      </c>
      <c r="C16" t="s">
        <v>15</v>
      </c>
      <c r="D16" t="s">
        <v>98</v>
      </c>
      <c r="E16" t="s">
        <v>17</v>
      </c>
      <c r="F16" t="s">
        <v>38</v>
      </c>
      <c r="G16" t="s">
        <v>19</v>
      </c>
      <c r="H16" t="s">
        <v>20</v>
      </c>
      <c r="I16" t="s">
        <v>31</v>
      </c>
      <c r="J16" t="s">
        <v>22</v>
      </c>
      <c r="K16">
        <v>1650</v>
      </c>
      <c r="L16">
        <v>5</v>
      </c>
      <c r="M16" t="s">
        <v>99</v>
      </c>
    </row>
    <row r="17" spans="1:13" x14ac:dyDescent="0.3">
      <c r="A17" t="s">
        <v>100</v>
      </c>
      <c r="B17" t="s">
        <v>97</v>
      </c>
      <c r="C17" t="s">
        <v>101</v>
      </c>
      <c r="D17" t="s">
        <v>102</v>
      </c>
      <c r="E17" t="s">
        <v>27</v>
      </c>
      <c r="F17" t="s">
        <v>18</v>
      </c>
      <c r="G17" t="s">
        <v>29</v>
      </c>
      <c r="H17" t="s">
        <v>45</v>
      </c>
      <c r="I17" t="s">
        <v>40</v>
      </c>
      <c r="J17" t="s">
        <v>22</v>
      </c>
      <c r="K17">
        <v>900</v>
      </c>
      <c r="L17">
        <v>4</v>
      </c>
      <c r="M17" t="s">
        <v>103</v>
      </c>
    </row>
    <row r="18" spans="1:13" x14ac:dyDescent="0.3">
      <c r="A18" t="s">
        <v>104</v>
      </c>
      <c r="B18" t="s">
        <v>105</v>
      </c>
      <c r="C18" t="s">
        <v>67</v>
      </c>
      <c r="D18" t="s">
        <v>106</v>
      </c>
      <c r="E18" t="s">
        <v>17</v>
      </c>
      <c r="F18" t="s">
        <v>28</v>
      </c>
      <c r="G18" t="s">
        <v>64</v>
      </c>
      <c r="H18" t="s">
        <v>30</v>
      </c>
      <c r="I18" t="s">
        <v>54</v>
      </c>
      <c r="J18" t="s">
        <v>32</v>
      </c>
      <c r="K18">
        <v>0</v>
      </c>
      <c r="L18">
        <v>3</v>
      </c>
      <c r="M18" t="s">
        <v>107</v>
      </c>
    </row>
    <row r="19" spans="1:13" x14ac:dyDescent="0.3">
      <c r="A19" t="s">
        <v>108</v>
      </c>
      <c r="B19" t="s">
        <v>105</v>
      </c>
      <c r="C19" t="s">
        <v>15</v>
      </c>
      <c r="D19" t="s">
        <v>109</v>
      </c>
      <c r="E19" t="s">
        <v>27</v>
      </c>
      <c r="F19" t="s">
        <v>52</v>
      </c>
      <c r="G19" t="s">
        <v>19</v>
      </c>
      <c r="H19" t="s">
        <v>20</v>
      </c>
      <c r="I19" t="s">
        <v>21</v>
      </c>
      <c r="J19" t="s">
        <v>22</v>
      </c>
      <c r="K19">
        <v>2400</v>
      </c>
      <c r="L19">
        <v>5</v>
      </c>
      <c r="M19" t="s">
        <v>110</v>
      </c>
    </row>
    <row r="20" spans="1:13" x14ac:dyDescent="0.3">
      <c r="A20" t="s">
        <v>111</v>
      </c>
      <c r="B20" t="s">
        <v>112</v>
      </c>
      <c r="C20" t="s">
        <v>72</v>
      </c>
      <c r="D20" t="s">
        <v>113</v>
      </c>
      <c r="E20" t="s">
        <v>17</v>
      </c>
      <c r="F20" t="s">
        <v>38</v>
      </c>
      <c r="G20" t="s">
        <v>29</v>
      </c>
      <c r="H20" t="s">
        <v>45</v>
      </c>
      <c r="I20" t="s">
        <v>74</v>
      </c>
      <c r="J20" t="s">
        <v>22</v>
      </c>
      <c r="K20">
        <v>1200</v>
      </c>
      <c r="L20">
        <v>4</v>
      </c>
      <c r="M20" t="s">
        <v>114</v>
      </c>
    </row>
    <row r="21" spans="1:13" x14ac:dyDescent="0.3">
      <c r="A21" t="s">
        <v>115</v>
      </c>
      <c r="B21" t="s">
        <v>112</v>
      </c>
      <c r="C21" t="s">
        <v>57</v>
      </c>
      <c r="D21" t="s">
        <v>116</v>
      </c>
      <c r="E21" t="s">
        <v>27</v>
      </c>
      <c r="F21" t="s">
        <v>94</v>
      </c>
      <c r="G21" t="s">
        <v>39</v>
      </c>
      <c r="H21" t="s">
        <v>30</v>
      </c>
      <c r="I21" t="s">
        <v>31</v>
      </c>
      <c r="J21" t="s">
        <v>32</v>
      </c>
      <c r="K21">
        <v>0</v>
      </c>
      <c r="L21">
        <v>4</v>
      </c>
      <c r="M21" t="s">
        <v>117</v>
      </c>
    </row>
    <row r="22" spans="1:13" x14ac:dyDescent="0.3">
      <c r="A22" t="s">
        <v>118</v>
      </c>
      <c r="B22" t="s">
        <v>119</v>
      </c>
      <c r="C22" t="s">
        <v>25</v>
      </c>
      <c r="D22" t="s">
        <v>120</v>
      </c>
      <c r="E22" t="s">
        <v>17</v>
      </c>
      <c r="F22" t="s">
        <v>18</v>
      </c>
      <c r="G22" t="s">
        <v>19</v>
      </c>
      <c r="H22" t="s">
        <v>20</v>
      </c>
      <c r="I22" t="s">
        <v>40</v>
      </c>
      <c r="J22" t="s">
        <v>22</v>
      </c>
      <c r="K22">
        <v>1900</v>
      </c>
      <c r="L22">
        <v>5</v>
      </c>
      <c r="M22" t="s">
        <v>121</v>
      </c>
    </row>
    <row r="23" spans="1:13" x14ac:dyDescent="0.3">
      <c r="A23" t="s">
        <v>122</v>
      </c>
      <c r="B23" t="s">
        <v>119</v>
      </c>
      <c r="C23" t="s">
        <v>15</v>
      </c>
      <c r="D23" t="s">
        <v>123</v>
      </c>
      <c r="E23" t="s">
        <v>27</v>
      </c>
      <c r="F23" t="s">
        <v>28</v>
      </c>
      <c r="G23" t="s">
        <v>53</v>
      </c>
      <c r="H23" t="s">
        <v>30</v>
      </c>
      <c r="I23" t="s">
        <v>21</v>
      </c>
      <c r="J23" t="s">
        <v>22</v>
      </c>
      <c r="K23">
        <v>600</v>
      </c>
      <c r="L23">
        <v>4</v>
      </c>
      <c r="M23" t="s">
        <v>124</v>
      </c>
    </row>
    <row r="24" spans="1:13" x14ac:dyDescent="0.3">
      <c r="A24" t="s">
        <v>125</v>
      </c>
      <c r="B24" t="s">
        <v>126</v>
      </c>
      <c r="C24" t="s">
        <v>43</v>
      </c>
      <c r="D24" t="s">
        <v>127</v>
      </c>
      <c r="E24" t="s">
        <v>17</v>
      </c>
      <c r="F24" t="s">
        <v>52</v>
      </c>
      <c r="G24" t="s">
        <v>19</v>
      </c>
      <c r="H24" t="s">
        <v>45</v>
      </c>
      <c r="I24" t="s">
        <v>46</v>
      </c>
      <c r="J24" t="s">
        <v>22</v>
      </c>
      <c r="K24">
        <v>1100</v>
      </c>
      <c r="L24">
        <v>2</v>
      </c>
      <c r="M24" t="s">
        <v>128</v>
      </c>
    </row>
    <row r="25" spans="1:13" x14ac:dyDescent="0.3">
      <c r="A25" t="s">
        <v>129</v>
      </c>
      <c r="B25" t="s">
        <v>126</v>
      </c>
      <c r="C25" t="s">
        <v>50</v>
      </c>
      <c r="D25" t="s">
        <v>130</v>
      </c>
      <c r="E25" t="s">
        <v>27</v>
      </c>
      <c r="F25" t="s">
        <v>38</v>
      </c>
      <c r="G25" t="s">
        <v>64</v>
      </c>
      <c r="H25" t="s">
        <v>20</v>
      </c>
      <c r="I25" t="s">
        <v>54</v>
      </c>
      <c r="J25" t="s">
        <v>32</v>
      </c>
      <c r="K25">
        <v>0</v>
      </c>
      <c r="L25">
        <v>5</v>
      </c>
      <c r="M25" t="s">
        <v>131</v>
      </c>
    </row>
    <row r="26" spans="1:13" x14ac:dyDescent="0.3">
      <c r="A26" t="s">
        <v>132</v>
      </c>
      <c r="B26" t="s">
        <v>133</v>
      </c>
      <c r="C26" t="s">
        <v>15</v>
      </c>
      <c r="D26" t="s">
        <v>134</v>
      </c>
      <c r="E26" t="s">
        <v>17</v>
      </c>
      <c r="F26" t="s">
        <v>18</v>
      </c>
      <c r="G26" t="s">
        <v>19</v>
      </c>
      <c r="H26" t="s">
        <v>20</v>
      </c>
      <c r="I26" t="s">
        <v>31</v>
      </c>
      <c r="J26" t="s">
        <v>22</v>
      </c>
      <c r="K26">
        <v>1600</v>
      </c>
      <c r="L26">
        <v>5</v>
      </c>
      <c r="M26" t="s">
        <v>135</v>
      </c>
    </row>
    <row r="27" spans="1:13" x14ac:dyDescent="0.3">
      <c r="A27" t="s">
        <v>136</v>
      </c>
      <c r="B27" t="s">
        <v>133</v>
      </c>
      <c r="C27" t="s">
        <v>36</v>
      </c>
      <c r="D27" t="s">
        <v>137</v>
      </c>
      <c r="E27" t="s">
        <v>27</v>
      </c>
      <c r="F27" t="s">
        <v>28</v>
      </c>
      <c r="G27" t="s">
        <v>29</v>
      </c>
      <c r="H27" t="s">
        <v>30</v>
      </c>
      <c r="I27" t="s">
        <v>40</v>
      </c>
      <c r="J27" t="s">
        <v>22</v>
      </c>
      <c r="K27">
        <v>550</v>
      </c>
      <c r="L27">
        <v>5</v>
      </c>
      <c r="M27" t="s">
        <v>138</v>
      </c>
    </row>
    <row r="28" spans="1:13" x14ac:dyDescent="0.3">
      <c r="A28" t="s">
        <v>139</v>
      </c>
      <c r="B28" t="s">
        <v>140</v>
      </c>
      <c r="C28" t="s">
        <v>77</v>
      </c>
      <c r="D28" t="s">
        <v>141</v>
      </c>
      <c r="E28" t="s">
        <v>17</v>
      </c>
      <c r="F28" t="s">
        <v>38</v>
      </c>
      <c r="G28" t="s">
        <v>39</v>
      </c>
      <c r="H28" t="s">
        <v>45</v>
      </c>
      <c r="I28" t="s">
        <v>21</v>
      </c>
      <c r="J28" t="s">
        <v>22</v>
      </c>
      <c r="K28">
        <v>950</v>
      </c>
      <c r="L28">
        <v>4</v>
      </c>
      <c r="M28" t="s">
        <v>142</v>
      </c>
    </row>
    <row r="29" spans="1:13" x14ac:dyDescent="0.3">
      <c r="A29" t="s">
        <v>143</v>
      </c>
      <c r="B29" t="s">
        <v>140</v>
      </c>
      <c r="C29" t="s">
        <v>67</v>
      </c>
      <c r="D29" t="s">
        <v>144</v>
      </c>
      <c r="E29" t="s">
        <v>27</v>
      </c>
      <c r="F29" t="s">
        <v>18</v>
      </c>
      <c r="G29" t="s">
        <v>19</v>
      </c>
      <c r="H29" t="s">
        <v>20</v>
      </c>
      <c r="I29" t="s">
        <v>31</v>
      </c>
      <c r="J29" t="s">
        <v>32</v>
      </c>
      <c r="K29">
        <v>0</v>
      </c>
      <c r="L29">
        <v>3</v>
      </c>
      <c r="M29" t="s">
        <v>145</v>
      </c>
    </row>
    <row r="30" spans="1:13" x14ac:dyDescent="0.3">
      <c r="A30" t="s">
        <v>146</v>
      </c>
      <c r="B30" t="s">
        <v>147</v>
      </c>
      <c r="C30" t="s">
        <v>15</v>
      </c>
      <c r="D30" t="s">
        <v>148</v>
      </c>
      <c r="E30" t="s">
        <v>17</v>
      </c>
      <c r="F30" t="s">
        <v>52</v>
      </c>
      <c r="G30" t="s">
        <v>59</v>
      </c>
      <c r="H30" t="s">
        <v>20</v>
      </c>
      <c r="I30" t="s">
        <v>21</v>
      </c>
      <c r="J30" t="s">
        <v>22</v>
      </c>
      <c r="K30">
        <v>2300</v>
      </c>
      <c r="L30">
        <v>5</v>
      </c>
      <c r="M30" t="s">
        <v>149</v>
      </c>
    </row>
    <row r="31" spans="1:13" x14ac:dyDescent="0.3">
      <c r="A31" t="s">
        <v>150</v>
      </c>
      <c r="B31" t="s">
        <v>147</v>
      </c>
      <c r="C31" t="s">
        <v>43</v>
      </c>
      <c r="D31" t="s">
        <v>151</v>
      </c>
      <c r="E31" t="s">
        <v>27</v>
      </c>
      <c r="F31" t="s">
        <v>38</v>
      </c>
      <c r="G31" t="s">
        <v>19</v>
      </c>
      <c r="H31" t="s">
        <v>45</v>
      </c>
      <c r="I31" t="s">
        <v>46</v>
      </c>
      <c r="J31" t="s">
        <v>22</v>
      </c>
      <c r="K31">
        <v>1000</v>
      </c>
      <c r="L31">
        <v>3</v>
      </c>
      <c r="M31" t="s">
        <v>152</v>
      </c>
    </row>
    <row r="32" spans="1:13" x14ac:dyDescent="0.3">
      <c r="A32" t="s">
        <v>153</v>
      </c>
      <c r="B32" t="s">
        <v>154</v>
      </c>
      <c r="C32" t="s">
        <v>101</v>
      </c>
      <c r="D32" t="s">
        <v>155</v>
      </c>
      <c r="E32" t="s">
        <v>17</v>
      </c>
      <c r="F32" t="s">
        <v>18</v>
      </c>
      <c r="G32" t="s">
        <v>64</v>
      </c>
      <c r="H32" t="s">
        <v>30</v>
      </c>
      <c r="I32" t="s">
        <v>31</v>
      </c>
      <c r="J32" t="s">
        <v>22</v>
      </c>
      <c r="K32">
        <v>480</v>
      </c>
      <c r="L32">
        <v>4</v>
      </c>
      <c r="M32" t="s">
        <v>156</v>
      </c>
    </row>
    <row r="33" spans="1:13" x14ac:dyDescent="0.3">
      <c r="A33" t="s">
        <v>157</v>
      </c>
      <c r="B33" t="s">
        <v>154</v>
      </c>
      <c r="C33" t="s">
        <v>25</v>
      </c>
      <c r="D33" t="s">
        <v>158</v>
      </c>
      <c r="E33" t="s">
        <v>27</v>
      </c>
      <c r="F33" t="s">
        <v>28</v>
      </c>
      <c r="G33" t="s">
        <v>29</v>
      </c>
      <c r="H33" t="s">
        <v>20</v>
      </c>
      <c r="I33" t="s">
        <v>40</v>
      </c>
      <c r="J33" t="s">
        <v>22</v>
      </c>
      <c r="K33">
        <v>1700</v>
      </c>
      <c r="L33">
        <v>5</v>
      </c>
      <c r="M33" t="s">
        <v>159</v>
      </c>
    </row>
    <row r="34" spans="1:13" x14ac:dyDescent="0.3">
      <c r="A34" t="s">
        <v>160</v>
      </c>
      <c r="B34" t="s">
        <v>161</v>
      </c>
      <c r="C34" t="s">
        <v>72</v>
      </c>
      <c r="D34" t="s">
        <v>162</v>
      </c>
      <c r="E34" t="s">
        <v>17</v>
      </c>
      <c r="F34" t="s">
        <v>38</v>
      </c>
      <c r="G34" t="s">
        <v>19</v>
      </c>
      <c r="H34" t="s">
        <v>45</v>
      </c>
      <c r="I34" t="s">
        <v>74</v>
      </c>
      <c r="J34" t="s">
        <v>22</v>
      </c>
      <c r="K34">
        <v>890</v>
      </c>
      <c r="L34">
        <v>4</v>
      </c>
      <c r="M34" t="s">
        <v>163</v>
      </c>
    </row>
    <row r="35" spans="1:13" x14ac:dyDescent="0.3">
      <c r="A35" t="s">
        <v>164</v>
      </c>
      <c r="B35" t="s">
        <v>161</v>
      </c>
      <c r="C35" t="s">
        <v>15</v>
      </c>
      <c r="D35" t="s">
        <v>165</v>
      </c>
      <c r="E35" t="s">
        <v>27</v>
      </c>
      <c r="F35" t="s">
        <v>18</v>
      </c>
      <c r="G35" t="s">
        <v>19</v>
      </c>
      <c r="H35" t="s">
        <v>20</v>
      </c>
      <c r="I35" t="s">
        <v>21</v>
      </c>
      <c r="J35" t="s">
        <v>22</v>
      </c>
      <c r="K35">
        <v>2050</v>
      </c>
      <c r="L35">
        <v>5</v>
      </c>
      <c r="M35" t="s">
        <v>166</v>
      </c>
    </row>
    <row r="36" spans="1:13" x14ac:dyDescent="0.3">
      <c r="A36" t="s">
        <v>167</v>
      </c>
      <c r="B36" t="s">
        <v>168</v>
      </c>
      <c r="C36" t="s">
        <v>36</v>
      </c>
      <c r="D36" t="s">
        <v>169</v>
      </c>
      <c r="E36" t="s">
        <v>17</v>
      </c>
      <c r="F36" t="s">
        <v>52</v>
      </c>
      <c r="G36" t="s">
        <v>29</v>
      </c>
      <c r="H36" t="s">
        <v>30</v>
      </c>
      <c r="I36" t="s">
        <v>54</v>
      </c>
      <c r="J36" t="s">
        <v>32</v>
      </c>
      <c r="K36">
        <v>0</v>
      </c>
      <c r="L36">
        <v>4</v>
      </c>
      <c r="M36" t="s">
        <v>170</v>
      </c>
    </row>
    <row r="37" spans="1:13" x14ac:dyDescent="0.3">
      <c r="A37" t="s">
        <v>171</v>
      </c>
      <c r="B37" t="s">
        <v>168</v>
      </c>
      <c r="C37" t="s">
        <v>57</v>
      </c>
      <c r="D37" t="s">
        <v>172</v>
      </c>
      <c r="E37" t="s">
        <v>27</v>
      </c>
      <c r="F37" t="s">
        <v>94</v>
      </c>
      <c r="G37" t="s">
        <v>53</v>
      </c>
      <c r="H37" t="s">
        <v>45</v>
      </c>
      <c r="I37" t="s">
        <v>31</v>
      </c>
      <c r="J37" t="s">
        <v>22</v>
      </c>
      <c r="K37">
        <v>700</v>
      </c>
      <c r="L37">
        <v>4</v>
      </c>
      <c r="M37" t="s">
        <v>173</v>
      </c>
    </row>
    <row r="38" spans="1:13" x14ac:dyDescent="0.3">
      <c r="A38" t="s">
        <v>174</v>
      </c>
      <c r="B38" t="s">
        <v>175</v>
      </c>
      <c r="C38" t="s">
        <v>67</v>
      </c>
      <c r="D38" t="s">
        <v>176</v>
      </c>
      <c r="E38" t="s">
        <v>17</v>
      </c>
      <c r="F38" t="s">
        <v>28</v>
      </c>
      <c r="G38" t="s">
        <v>19</v>
      </c>
      <c r="H38" t="s">
        <v>30</v>
      </c>
      <c r="I38" t="s">
        <v>21</v>
      </c>
      <c r="J38" t="s">
        <v>32</v>
      </c>
      <c r="K38">
        <v>0</v>
      </c>
      <c r="L38">
        <v>3</v>
      </c>
      <c r="M38" t="s">
        <v>177</v>
      </c>
    </row>
    <row r="39" spans="1:13" x14ac:dyDescent="0.3">
      <c r="A39" t="s">
        <v>178</v>
      </c>
      <c r="B39" t="s">
        <v>175</v>
      </c>
      <c r="C39" t="s">
        <v>15</v>
      </c>
      <c r="D39" t="s">
        <v>179</v>
      </c>
      <c r="E39" t="s">
        <v>27</v>
      </c>
      <c r="F39" t="s">
        <v>38</v>
      </c>
      <c r="G39" t="s">
        <v>39</v>
      </c>
      <c r="H39" t="s">
        <v>20</v>
      </c>
      <c r="I39" t="s">
        <v>40</v>
      </c>
      <c r="J39" t="s">
        <v>22</v>
      </c>
      <c r="K39">
        <v>2150</v>
      </c>
      <c r="L39">
        <v>5</v>
      </c>
      <c r="M39" t="s">
        <v>180</v>
      </c>
    </row>
    <row r="40" spans="1:13" x14ac:dyDescent="0.3">
      <c r="A40" t="s">
        <v>181</v>
      </c>
      <c r="B40" t="s">
        <v>182</v>
      </c>
      <c r="C40" t="s">
        <v>43</v>
      </c>
      <c r="D40" t="s">
        <v>183</v>
      </c>
      <c r="E40" t="s">
        <v>17</v>
      </c>
      <c r="F40" t="s">
        <v>18</v>
      </c>
      <c r="G40" t="s">
        <v>29</v>
      </c>
      <c r="H40" t="s">
        <v>45</v>
      </c>
      <c r="I40" t="s">
        <v>46</v>
      </c>
      <c r="J40" t="s">
        <v>22</v>
      </c>
      <c r="K40">
        <v>950</v>
      </c>
      <c r="L40">
        <v>2</v>
      </c>
      <c r="M40" t="s">
        <v>184</v>
      </c>
    </row>
    <row r="41" spans="1:13" x14ac:dyDescent="0.3">
      <c r="A41" t="s">
        <v>185</v>
      </c>
      <c r="B41" t="s">
        <v>182</v>
      </c>
      <c r="C41" t="s">
        <v>25</v>
      </c>
      <c r="D41" t="s">
        <v>186</v>
      </c>
      <c r="E41" t="s">
        <v>27</v>
      </c>
      <c r="F41" t="s">
        <v>38</v>
      </c>
      <c r="G41" t="s">
        <v>19</v>
      </c>
      <c r="H41" t="s">
        <v>20</v>
      </c>
      <c r="I41" t="s">
        <v>31</v>
      </c>
      <c r="J41" t="s">
        <v>22</v>
      </c>
      <c r="K41">
        <v>1850</v>
      </c>
      <c r="L41">
        <v>5</v>
      </c>
      <c r="M41" t="s">
        <v>187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4" x14ac:dyDescent="0.3"/>
  <cols>
    <col min="1" max="1" width="13.21875" customWidth="1"/>
    <col min="2" max="2" width="14.6640625" customWidth="1"/>
    <col min="3" max="3" width="13.6640625" customWidth="1"/>
  </cols>
  <sheetData>
    <row r="1" spans="1:3" x14ac:dyDescent="0.3">
      <c r="A1" t="s">
        <v>2</v>
      </c>
      <c r="B1" t="s">
        <v>188</v>
      </c>
      <c r="C1" t="s">
        <v>189</v>
      </c>
    </row>
    <row r="2" spans="1:3" x14ac:dyDescent="0.3">
      <c r="A2" t="s">
        <v>190</v>
      </c>
      <c r="B2" t="s">
        <v>191</v>
      </c>
      <c r="C2" t="s">
        <v>192</v>
      </c>
    </row>
    <row r="3" spans="1:3" x14ac:dyDescent="0.3">
      <c r="A3" t="s">
        <v>15</v>
      </c>
      <c r="B3" t="s">
        <v>193</v>
      </c>
      <c r="C3" t="s">
        <v>194</v>
      </c>
    </row>
    <row r="4" spans="1:3" x14ac:dyDescent="0.3">
      <c r="A4" t="s">
        <v>195</v>
      </c>
      <c r="B4" t="s">
        <v>196</v>
      </c>
      <c r="C4" t="s">
        <v>197</v>
      </c>
    </row>
    <row r="5" spans="1:3" x14ac:dyDescent="0.3">
      <c r="A5" t="s">
        <v>43</v>
      </c>
      <c r="B5" t="s">
        <v>198</v>
      </c>
      <c r="C5" t="s">
        <v>199</v>
      </c>
    </row>
    <row r="6" spans="1:3" x14ac:dyDescent="0.3">
      <c r="A6" t="s">
        <v>200</v>
      </c>
      <c r="B6" t="s">
        <v>201</v>
      </c>
      <c r="C6" t="s">
        <v>202</v>
      </c>
    </row>
    <row r="7" spans="1:3" x14ac:dyDescent="0.3">
      <c r="A7" t="s">
        <v>203</v>
      </c>
      <c r="B7" t="s">
        <v>204</v>
      </c>
      <c r="C7" t="s">
        <v>205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6"/>
  <sheetViews>
    <sheetView workbookViewId="0">
      <selection activeCell="B15" sqref="B15"/>
    </sheetView>
  </sheetViews>
  <sheetFormatPr defaultRowHeight="14.4" x14ac:dyDescent="0.3"/>
  <cols>
    <col min="1" max="1" width="15.77734375" bestFit="1" customWidth="1"/>
    <col min="2" max="2" width="25.109375" bestFit="1" customWidth="1"/>
    <col min="4" max="4" width="12.5546875" bestFit="1" customWidth="1"/>
    <col min="5" max="5" width="22.88671875" bestFit="1" customWidth="1"/>
    <col min="7" max="7" width="19.33203125" bestFit="1" customWidth="1"/>
    <col min="8" max="8" width="15.5546875" bestFit="1" customWidth="1"/>
    <col min="9" max="9" width="3.77734375" bestFit="1" customWidth="1"/>
    <col min="10" max="10" width="10.77734375" bestFit="1" customWidth="1"/>
  </cols>
  <sheetData>
    <row r="1" spans="1:10" x14ac:dyDescent="0.3">
      <c r="D1" s="1" t="s">
        <v>210</v>
      </c>
      <c r="E1" t="s">
        <v>213</v>
      </c>
      <c r="G1" s="1" t="s">
        <v>212</v>
      </c>
      <c r="H1" s="1" t="s">
        <v>214</v>
      </c>
    </row>
    <row r="2" spans="1:10" x14ac:dyDescent="0.3">
      <c r="A2" s="1" t="s">
        <v>210</v>
      </c>
      <c r="B2" t="s">
        <v>212</v>
      </c>
      <c r="D2" s="2" t="s">
        <v>30</v>
      </c>
      <c r="E2" s="6">
        <v>2580</v>
      </c>
      <c r="G2" s="1" t="s">
        <v>210</v>
      </c>
      <c r="H2" t="s">
        <v>32</v>
      </c>
      <c r="I2" t="s">
        <v>22</v>
      </c>
      <c r="J2" t="s">
        <v>211</v>
      </c>
    </row>
    <row r="3" spans="1:10" x14ac:dyDescent="0.3">
      <c r="A3" s="2" t="s">
        <v>43</v>
      </c>
      <c r="B3" s="6">
        <v>5</v>
      </c>
      <c r="D3" s="2" t="s">
        <v>20</v>
      </c>
      <c r="E3" s="6">
        <v>26950</v>
      </c>
      <c r="G3" s="2" t="s">
        <v>43</v>
      </c>
      <c r="H3" s="6"/>
      <c r="I3" s="6">
        <v>5</v>
      </c>
      <c r="J3" s="6">
        <v>5</v>
      </c>
    </row>
    <row r="4" spans="1:10" x14ac:dyDescent="0.3">
      <c r="A4" s="2" t="s">
        <v>72</v>
      </c>
      <c r="B4" s="6">
        <v>3</v>
      </c>
      <c r="D4" s="2" t="s">
        <v>45</v>
      </c>
      <c r="E4" s="6">
        <v>10470</v>
      </c>
      <c r="G4" s="2" t="s">
        <v>72</v>
      </c>
      <c r="H4" s="6"/>
      <c r="I4" s="6">
        <v>3</v>
      </c>
      <c r="J4" s="6">
        <v>3</v>
      </c>
    </row>
    <row r="5" spans="1:10" x14ac:dyDescent="0.3">
      <c r="A5" s="2" t="s">
        <v>25</v>
      </c>
      <c r="B5" s="6">
        <v>5</v>
      </c>
      <c r="D5" s="2" t="s">
        <v>211</v>
      </c>
      <c r="E5" s="6">
        <v>40000</v>
      </c>
      <c r="G5" s="2" t="s">
        <v>25</v>
      </c>
      <c r="H5" s="6">
        <v>1</v>
      </c>
      <c r="I5" s="6">
        <v>4</v>
      </c>
      <c r="J5" s="6">
        <v>5</v>
      </c>
    </row>
    <row r="6" spans="1:10" x14ac:dyDescent="0.3">
      <c r="A6" s="2" t="s">
        <v>67</v>
      </c>
      <c r="B6" s="6">
        <v>4</v>
      </c>
      <c r="G6" s="2" t="s">
        <v>67</v>
      </c>
      <c r="H6" s="6">
        <v>4</v>
      </c>
      <c r="I6" s="6"/>
      <c r="J6" s="6">
        <v>4</v>
      </c>
    </row>
    <row r="7" spans="1:10" x14ac:dyDescent="0.3">
      <c r="A7" s="2" t="s">
        <v>50</v>
      </c>
      <c r="B7" s="6">
        <v>2</v>
      </c>
      <c r="G7" s="2" t="s">
        <v>50</v>
      </c>
      <c r="H7" s="6">
        <v>2</v>
      </c>
      <c r="I7" s="6"/>
      <c r="J7" s="6">
        <v>2</v>
      </c>
    </row>
    <row r="8" spans="1:10" x14ac:dyDescent="0.3">
      <c r="A8" s="2" t="s">
        <v>36</v>
      </c>
      <c r="B8" s="6">
        <v>4</v>
      </c>
      <c r="D8" s="1" t="s">
        <v>210</v>
      </c>
      <c r="E8" t="s">
        <v>212</v>
      </c>
      <c r="G8" s="2" t="s">
        <v>36</v>
      </c>
      <c r="H8" s="6">
        <v>1</v>
      </c>
      <c r="I8" s="6">
        <v>3</v>
      </c>
      <c r="J8" s="6">
        <v>4</v>
      </c>
    </row>
    <row r="9" spans="1:10" x14ac:dyDescent="0.3">
      <c r="A9" s="2" t="s">
        <v>57</v>
      </c>
      <c r="B9" s="6">
        <v>3</v>
      </c>
      <c r="D9" s="2" t="s">
        <v>86</v>
      </c>
      <c r="E9" s="6">
        <v>1</v>
      </c>
      <c r="G9" s="2" t="s">
        <v>57</v>
      </c>
      <c r="H9" s="6">
        <v>1</v>
      </c>
      <c r="I9" s="6">
        <v>2</v>
      </c>
      <c r="J9" s="6">
        <v>3</v>
      </c>
    </row>
    <row r="10" spans="1:10" x14ac:dyDescent="0.3">
      <c r="A10" s="2" t="s">
        <v>77</v>
      </c>
      <c r="B10" s="6">
        <v>2</v>
      </c>
      <c r="D10" s="2" t="s">
        <v>59</v>
      </c>
      <c r="E10" s="6">
        <v>2</v>
      </c>
      <c r="G10" s="2" t="s">
        <v>77</v>
      </c>
      <c r="H10" s="6"/>
      <c r="I10" s="6">
        <v>2</v>
      </c>
      <c r="J10" s="6">
        <v>2</v>
      </c>
    </row>
    <row r="11" spans="1:10" x14ac:dyDescent="0.3">
      <c r="A11" s="2" t="s">
        <v>101</v>
      </c>
      <c r="B11" s="6">
        <v>2</v>
      </c>
      <c r="D11" s="2" t="s">
        <v>19</v>
      </c>
      <c r="E11" s="6">
        <v>16</v>
      </c>
      <c r="G11" s="2" t="s">
        <v>101</v>
      </c>
      <c r="H11" s="6"/>
      <c r="I11" s="6">
        <v>2</v>
      </c>
      <c r="J11" s="6">
        <v>2</v>
      </c>
    </row>
    <row r="12" spans="1:10" x14ac:dyDescent="0.3">
      <c r="A12" s="2" t="s">
        <v>15</v>
      </c>
      <c r="B12" s="6">
        <v>10</v>
      </c>
      <c r="D12" s="2" t="s">
        <v>64</v>
      </c>
      <c r="E12" s="6">
        <v>4</v>
      </c>
      <c r="G12" s="2" t="s">
        <v>15</v>
      </c>
      <c r="H12" s="6">
        <v>1</v>
      </c>
      <c r="I12" s="6">
        <v>9</v>
      </c>
      <c r="J12" s="6">
        <v>10</v>
      </c>
    </row>
    <row r="13" spans="1:10" x14ac:dyDescent="0.3">
      <c r="A13" s="2" t="s">
        <v>211</v>
      </c>
      <c r="B13" s="6">
        <v>40</v>
      </c>
      <c r="D13" s="2" t="s">
        <v>29</v>
      </c>
      <c r="E13" s="6">
        <v>9</v>
      </c>
      <c r="G13" s="2" t="s">
        <v>211</v>
      </c>
      <c r="H13" s="6">
        <v>10</v>
      </c>
      <c r="I13" s="6">
        <v>30</v>
      </c>
      <c r="J13" s="6">
        <v>40</v>
      </c>
    </row>
    <row r="14" spans="1:10" x14ac:dyDescent="0.3">
      <c r="D14" s="2" t="s">
        <v>39</v>
      </c>
      <c r="E14" s="6">
        <v>5</v>
      </c>
    </row>
    <row r="15" spans="1:10" x14ac:dyDescent="0.3">
      <c r="A15" s="1" t="s">
        <v>210</v>
      </c>
      <c r="B15" t="s">
        <v>220</v>
      </c>
      <c r="D15" s="2" t="s">
        <v>53</v>
      </c>
      <c r="E15" s="6">
        <v>3</v>
      </c>
    </row>
    <row r="16" spans="1:10" x14ac:dyDescent="0.3">
      <c r="A16" s="2" t="s">
        <v>43</v>
      </c>
      <c r="B16" s="6">
        <v>2.2000000000000002</v>
      </c>
      <c r="D16" s="2" t="s">
        <v>211</v>
      </c>
      <c r="E16" s="6">
        <v>40</v>
      </c>
    </row>
    <row r="17" spans="1:2" x14ac:dyDescent="0.3">
      <c r="A17" s="2" t="s">
        <v>72</v>
      </c>
      <c r="B17" s="6">
        <v>4</v>
      </c>
    </row>
    <row r="18" spans="1:2" x14ac:dyDescent="0.3">
      <c r="A18" s="2" t="s">
        <v>25</v>
      </c>
      <c r="B18" s="6">
        <v>4.4000000000000004</v>
      </c>
    </row>
    <row r="19" spans="1:2" x14ac:dyDescent="0.3">
      <c r="A19" s="2" t="s">
        <v>67</v>
      </c>
      <c r="B19" s="6">
        <v>3</v>
      </c>
    </row>
    <row r="20" spans="1:2" x14ac:dyDescent="0.3">
      <c r="A20" s="2" t="s">
        <v>50</v>
      </c>
      <c r="B20" s="6">
        <v>4.5</v>
      </c>
    </row>
    <row r="21" spans="1:2" x14ac:dyDescent="0.3">
      <c r="A21" s="2" t="s">
        <v>36</v>
      </c>
      <c r="B21" s="6">
        <v>4.75</v>
      </c>
    </row>
    <row r="22" spans="1:2" x14ac:dyDescent="0.3">
      <c r="A22" s="2" t="s">
        <v>57</v>
      </c>
      <c r="B22" s="6">
        <v>4</v>
      </c>
    </row>
    <row r="23" spans="1:2" x14ac:dyDescent="0.3">
      <c r="A23" s="2" t="s">
        <v>77</v>
      </c>
      <c r="B23" s="6">
        <v>4.5</v>
      </c>
    </row>
    <row r="24" spans="1:2" x14ac:dyDescent="0.3">
      <c r="A24" s="2" t="s">
        <v>101</v>
      </c>
      <c r="B24" s="6">
        <v>4</v>
      </c>
    </row>
    <row r="25" spans="1:2" x14ac:dyDescent="0.3">
      <c r="A25" s="2" t="s">
        <v>15</v>
      </c>
      <c r="B25" s="6">
        <v>4.8</v>
      </c>
    </row>
    <row r="26" spans="1:2" x14ac:dyDescent="0.3">
      <c r="A26" s="2" t="s">
        <v>211</v>
      </c>
      <c r="B26" s="6">
        <v>4.05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workbookViewId="0">
      <selection activeCell="B7" sqref="B7"/>
    </sheetView>
  </sheetViews>
  <sheetFormatPr defaultRowHeight="14.4" x14ac:dyDescent="0.3"/>
  <cols>
    <col min="1" max="1" width="24.6640625" customWidth="1"/>
    <col min="2" max="2" width="16.5546875" bestFit="1" customWidth="1"/>
  </cols>
  <sheetData>
    <row r="1" spans="1:2" x14ac:dyDescent="0.3">
      <c r="A1" t="s">
        <v>206</v>
      </c>
      <c r="B1" t="s">
        <v>207</v>
      </c>
    </row>
    <row r="2" spans="1:2" ht="23.4" x14ac:dyDescent="0.45">
      <c r="A2" t="s">
        <v>208</v>
      </c>
      <c r="B2" s="3">
        <f>COUNTA('Customer Data'!A2:A41)</f>
        <v>40</v>
      </c>
    </row>
    <row r="3" spans="1:2" ht="23.4" x14ac:dyDescent="0.45">
      <c r="A3" t="s">
        <v>215</v>
      </c>
      <c r="B3" s="3">
        <f>COUNTIF('Customer Data'!J2:J41,"Yes")</f>
        <v>30</v>
      </c>
    </row>
    <row r="4" spans="1:2" ht="23.4" x14ac:dyDescent="0.45">
      <c r="A4" t="s">
        <v>216</v>
      </c>
      <c r="B4" s="4">
        <f>SUM('Customer Data'!K2:K41)</f>
        <v>40000</v>
      </c>
    </row>
    <row r="5" spans="1:2" ht="23.4" x14ac:dyDescent="0.45">
      <c r="A5" t="s">
        <v>209</v>
      </c>
      <c r="B5" s="3">
        <f>AVERAGE('Customer Data'!L2:L41)</f>
        <v>4.05</v>
      </c>
    </row>
    <row r="6" spans="1:2" ht="23.4" x14ac:dyDescent="0.45">
      <c r="A6" t="s">
        <v>217</v>
      </c>
      <c r="B6" s="5">
        <f>B3/B2</f>
        <v>0.75</v>
      </c>
    </row>
    <row r="7" spans="1:2" ht="23.4" x14ac:dyDescent="0.45">
      <c r="A7" t="s">
        <v>218</v>
      </c>
      <c r="B7" s="4">
        <f>B4/B3</f>
        <v>1333.3333333333333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
  <sheetViews>
    <sheetView tabSelected="1" workbookViewId="0">
      <selection activeCell="W5" sqref="W5"/>
    </sheetView>
  </sheetViews>
  <sheetFormatPr defaultRowHeight="14.4" x14ac:dyDescent="0.3"/>
  <sheetData>
    <row r="1" spans="1:19" x14ac:dyDescent="0.3">
      <c r="A1" s="8" t="s">
        <v>219</v>
      </c>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sheetData>
  <mergeCells count="1">
    <mergeCell ref="A1:S2"/>
  </mergeCells>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Data</vt:lpstr>
      <vt:lpstr>Data Collection Methods</vt:lpstr>
      <vt:lpstr>PivotTables</vt:lpstr>
      <vt:lpstr>Calculations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moipoledi nembambula</cp:lastModifiedBy>
  <dcterms:created xsi:type="dcterms:W3CDTF">2026-07-16T16:49:55Z</dcterms:created>
  <dcterms:modified xsi:type="dcterms:W3CDTF">2026-07-17T19:41:37Z</dcterms:modified>
</cp:coreProperties>
</file>